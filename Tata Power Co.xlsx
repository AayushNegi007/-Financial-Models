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8CCDD38-60CB-4DE8-AC4D-67624565F6A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rofit &amp; Loss" sheetId="1" r:id="rId1"/>
    <sheet name="HistoricalFS" sheetId="7" r:id="rId2"/>
    <sheet name="Ratio Analysis" sheetId="13" r:id="rId3"/>
    <sheet name="Data &gt;" sheetId="8" r:id="rId4"/>
    <sheet name="Data Sheet" sheetId="6" r:id="rId5"/>
    <sheet name="Cash Flow Data" sheetId="10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1" i="8" l="1"/>
  <c r="D20" i="8"/>
  <c r="C34" i="13"/>
  <c r="D27" i="13"/>
  <c r="E27" i="13"/>
  <c r="F27" i="13"/>
  <c r="G27" i="13"/>
  <c r="H27" i="13"/>
  <c r="I27" i="13"/>
  <c r="J27" i="13"/>
  <c r="K27" i="13"/>
  <c r="L27" i="13"/>
  <c r="C27" i="13"/>
  <c r="D25" i="13"/>
  <c r="E25" i="13"/>
  <c r="F25" i="13"/>
  <c r="G25" i="13"/>
  <c r="H25" i="13"/>
  <c r="I25" i="13"/>
  <c r="J25" i="13"/>
  <c r="K25" i="13"/>
  <c r="L25" i="13"/>
  <c r="C25" i="13"/>
  <c r="D15" i="13"/>
  <c r="E15" i="13"/>
  <c r="F15" i="13"/>
  <c r="G15" i="13"/>
  <c r="H15" i="13"/>
  <c r="I15" i="13"/>
  <c r="J15" i="13"/>
  <c r="K15" i="13"/>
  <c r="L15" i="13"/>
  <c r="C15" i="13"/>
  <c r="D9" i="7" l="1"/>
  <c r="E9" i="7"/>
  <c r="F9" i="7"/>
  <c r="G9" i="7"/>
  <c r="H9" i="7"/>
  <c r="I9" i="7"/>
  <c r="J9" i="7"/>
  <c r="K9" i="7"/>
  <c r="L9" i="7"/>
  <c r="M9" i="7"/>
  <c r="C9" i="7"/>
  <c r="E9" i="8" l="1"/>
  <c r="E6" i="8"/>
  <c r="E5" i="8"/>
  <c r="G5" i="8"/>
  <c r="G6" i="8" s="1"/>
  <c r="G7" i="8" s="1"/>
  <c r="G8" i="8" s="1"/>
  <c r="G9" i="8" s="1"/>
  <c r="G10" i="8" s="1"/>
  <c r="G11" i="8" s="1"/>
  <c r="G12" i="8" s="1"/>
  <c r="G13" i="8" s="1"/>
  <c r="G14" i="8" s="1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G2" i="8"/>
  <c r="L2" i="8"/>
  <c r="L5" i="8"/>
  <c r="L6" i="8" s="1"/>
  <c r="L7" i="8" s="1"/>
  <c r="L8" i="8" s="1"/>
  <c r="L9" i="8" s="1"/>
  <c r="L10" i="8" s="1"/>
  <c r="L11" i="8" s="1"/>
  <c r="L12" i="8" s="1"/>
  <c r="L13" i="8" s="1"/>
  <c r="L14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C4" i="8"/>
  <c r="B2" i="8"/>
  <c r="E8" i="8" l="1"/>
  <c r="E10" i="8"/>
  <c r="E11" i="8"/>
  <c r="E12" i="8"/>
  <c r="E7" i="8"/>
  <c r="G15" i="8"/>
  <c r="L15" i="8"/>
  <c r="G16" i="8" l="1"/>
  <c r="L16" i="8"/>
  <c r="G17" i="8" l="1"/>
  <c r="L17" i="8"/>
  <c r="G18" i="8" l="1"/>
  <c r="L18" i="8"/>
  <c r="C5" i="8" l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B5" i="8"/>
  <c r="B6" i="8" s="1"/>
  <c r="B7" i="8" s="1"/>
  <c r="B8" i="8" s="1"/>
  <c r="B9" i="8" s="1"/>
  <c r="B10" i="8" s="1"/>
  <c r="B11" i="8" s="1"/>
  <c r="B12" i="8" s="1"/>
  <c r="B13" i="8" s="1"/>
  <c r="B14" i="8" s="1"/>
  <c r="L3" i="13"/>
  <c r="F41" i="13"/>
  <c r="G41" i="13"/>
  <c r="H41" i="13"/>
  <c r="L41" i="13"/>
  <c r="C5" i="13"/>
  <c r="B2" i="13"/>
  <c r="K3" i="13"/>
  <c r="J3" i="13"/>
  <c r="I3" i="13"/>
  <c r="H3" i="13"/>
  <c r="G3" i="13"/>
  <c r="F3" i="13"/>
  <c r="E3" i="13"/>
  <c r="D3" i="13"/>
  <c r="C3" i="13"/>
  <c r="D56" i="7"/>
  <c r="E56" i="7"/>
  <c r="F56" i="7"/>
  <c r="G56" i="7"/>
  <c r="H56" i="7"/>
  <c r="I56" i="7"/>
  <c r="J56" i="7"/>
  <c r="K56" i="7"/>
  <c r="L56" i="7"/>
  <c r="C56" i="7"/>
  <c r="C60" i="7"/>
  <c r="D60" i="7"/>
  <c r="E60" i="7"/>
  <c r="F60" i="7"/>
  <c r="G60" i="7"/>
  <c r="H60" i="7"/>
  <c r="I60" i="7"/>
  <c r="J60" i="7"/>
  <c r="K60" i="7"/>
  <c r="L60" i="7"/>
  <c r="C61" i="7"/>
  <c r="D61" i="7"/>
  <c r="E61" i="7"/>
  <c r="F61" i="7"/>
  <c r="G61" i="7"/>
  <c r="H61" i="7"/>
  <c r="I61" i="7"/>
  <c r="J61" i="7"/>
  <c r="K61" i="7"/>
  <c r="L61" i="7"/>
  <c r="D59" i="7"/>
  <c r="E59" i="7"/>
  <c r="F59" i="7"/>
  <c r="G59" i="7"/>
  <c r="H59" i="7"/>
  <c r="I59" i="7"/>
  <c r="J59" i="7"/>
  <c r="K59" i="7"/>
  <c r="L59" i="7"/>
  <c r="C59" i="7"/>
  <c r="C54" i="7"/>
  <c r="D54" i="7"/>
  <c r="E54" i="7"/>
  <c r="F54" i="7"/>
  <c r="G54" i="7"/>
  <c r="H54" i="7"/>
  <c r="I54" i="7"/>
  <c r="J54" i="7"/>
  <c r="K54" i="7"/>
  <c r="L54" i="7"/>
  <c r="C55" i="7"/>
  <c r="D55" i="7"/>
  <c r="E55" i="7"/>
  <c r="F55" i="7"/>
  <c r="G55" i="7"/>
  <c r="H55" i="7"/>
  <c r="I55" i="7"/>
  <c r="J55" i="7"/>
  <c r="K55" i="7"/>
  <c r="L55" i="7"/>
  <c r="D53" i="7"/>
  <c r="E53" i="7"/>
  <c r="F53" i="7"/>
  <c r="F57" i="7" s="1"/>
  <c r="G53" i="7"/>
  <c r="H53" i="7"/>
  <c r="H57" i="7" s="1"/>
  <c r="I53" i="7"/>
  <c r="J53" i="7"/>
  <c r="K53" i="7"/>
  <c r="L53" i="7"/>
  <c r="L57" i="7" s="1"/>
  <c r="C53" i="7"/>
  <c r="C51" i="7"/>
  <c r="D51" i="7"/>
  <c r="E51" i="7"/>
  <c r="F51" i="7"/>
  <c r="G51" i="7"/>
  <c r="H51" i="7"/>
  <c r="I51" i="7"/>
  <c r="J51" i="7"/>
  <c r="K51" i="7"/>
  <c r="L51" i="7"/>
  <c r="C48" i="7"/>
  <c r="D48" i="7"/>
  <c r="E48" i="7"/>
  <c r="F48" i="7"/>
  <c r="G48" i="7"/>
  <c r="H48" i="7"/>
  <c r="I48" i="7"/>
  <c r="J48" i="7"/>
  <c r="K48" i="7"/>
  <c r="L48" i="7"/>
  <c r="C49" i="7"/>
  <c r="C41" i="13" s="1"/>
  <c r="D49" i="7"/>
  <c r="D41" i="13" s="1"/>
  <c r="E49" i="7"/>
  <c r="E41" i="13" s="1"/>
  <c r="F49" i="7"/>
  <c r="G49" i="7"/>
  <c r="H49" i="7"/>
  <c r="I49" i="7"/>
  <c r="I41" i="13" s="1"/>
  <c r="J49" i="7"/>
  <c r="J41" i="13" s="1"/>
  <c r="K49" i="7"/>
  <c r="K41" i="13" s="1"/>
  <c r="L49" i="7"/>
  <c r="C50" i="7"/>
  <c r="D50" i="7"/>
  <c r="E50" i="7"/>
  <c r="F50" i="7"/>
  <c r="G50" i="7"/>
  <c r="H50" i="7"/>
  <c r="I50" i="7"/>
  <c r="J50" i="7"/>
  <c r="K50" i="7"/>
  <c r="L50" i="7"/>
  <c r="D47" i="7"/>
  <c r="E47" i="7"/>
  <c r="F47" i="7"/>
  <c r="G47" i="7"/>
  <c r="H47" i="7"/>
  <c r="I47" i="7"/>
  <c r="J47" i="7"/>
  <c r="K47" i="7"/>
  <c r="L47" i="7"/>
  <c r="C47" i="7"/>
  <c r="C36" i="7"/>
  <c r="C41" i="7" s="1"/>
  <c r="D36" i="7"/>
  <c r="E36" i="7"/>
  <c r="F36" i="7"/>
  <c r="F41" i="7" s="1"/>
  <c r="F9" i="13" s="1"/>
  <c r="G36" i="7"/>
  <c r="G41" i="7" s="1"/>
  <c r="G9" i="13" s="1"/>
  <c r="H36" i="7"/>
  <c r="H41" i="7" s="1"/>
  <c r="H9" i="13" s="1"/>
  <c r="I36" i="7"/>
  <c r="I41" i="7" s="1"/>
  <c r="J36" i="7"/>
  <c r="K36" i="7"/>
  <c r="L36" i="7"/>
  <c r="L41" i="7" s="1"/>
  <c r="L9" i="13" s="1"/>
  <c r="M36" i="7"/>
  <c r="M41" i="7" s="1"/>
  <c r="D41" i="7"/>
  <c r="E41" i="7"/>
  <c r="E9" i="13" s="1"/>
  <c r="J41" i="7"/>
  <c r="J9" i="13" s="1"/>
  <c r="K41" i="7"/>
  <c r="K9" i="13" s="1"/>
  <c r="D9" i="13" l="1"/>
  <c r="I9" i="13"/>
  <c r="N41" i="13"/>
  <c r="O41" i="13"/>
  <c r="G57" i="7"/>
  <c r="E57" i="7"/>
  <c r="D57" i="7"/>
  <c r="C57" i="7"/>
  <c r="K57" i="7"/>
  <c r="J57" i="7"/>
  <c r="I57" i="7"/>
  <c r="B15" i="8"/>
  <c r="L62" i="7"/>
  <c r="L64" i="7" s="1"/>
  <c r="K62" i="7"/>
  <c r="K64" i="7" s="1"/>
  <c r="J62" i="7"/>
  <c r="J64" i="7" s="1"/>
  <c r="I62" i="7"/>
  <c r="I64" i="7" s="1"/>
  <c r="H62" i="7"/>
  <c r="H64" i="7" s="1"/>
  <c r="G62" i="7"/>
  <c r="F62" i="7"/>
  <c r="F64" i="7" s="1"/>
  <c r="E62" i="7"/>
  <c r="E64" i="7" s="1"/>
  <c r="D62" i="7"/>
  <c r="C62" i="7"/>
  <c r="M30" i="7"/>
  <c r="D30" i="7"/>
  <c r="E30" i="7"/>
  <c r="F30" i="7"/>
  <c r="G30" i="7"/>
  <c r="H30" i="7"/>
  <c r="I30" i="7"/>
  <c r="J30" i="7"/>
  <c r="K30" i="7"/>
  <c r="L30" i="7"/>
  <c r="C30" i="7"/>
  <c r="M24" i="7"/>
  <c r="D24" i="7"/>
  <c r="E24" i="7"/>
  <c r="F24" i="7"/>
  <c r="G24" i="7"/>
  <c r="H24" i="7"/>
  <c r="I24" i="7"/>
  <c r="J24" i="7"/>
  <c r="K24" i="7"/>
  <c r="L24" i="7"/>
  <c r="C24" i="7"/>
  <c r="M21" i="7"/>
  <c r="D21" i="7"/>
  <c r="E21" i="7"/>
  <c r="F21" i="7"/>
  <c r="G21" i="7"/>
  <c r="H21" i="7"/>
  <c r="I21" i="7"/>
  <c r="J21" i="7"/>
  <c r="K21" i="7"/>
  <c r="L21" i="7"/>
  <c r="C21" i="7"/>
  <c r="M18" i="7"/>
  <c r="D15" i="7"/>
  <c r="E15" i="7"/>
  <c r="F15" i="7"/>
  <c r="G15" i="7"/>
  <c r="H15" i="7"/>
  <c r="I15" i="7"/>
  <c r="J15" i="7"/>
  <c r="K15" i="7"/>
  <c r="L15" i="7"/>
  <c r="C15" i="7"/>
  <c r="M6" i="7"/>
  <c r="J6" i="7"/>
  <c r="K6" i="7"/>
  <c r="L6" i="7"/>
  <c r="J3" i="7"/>
  <c r="K3" i="7"/>
  <c r="L3" i="7"/>
  <c r="J66" i="7" l="1"/>
  <c r="J40" i="13"/>
  <c r="L66" i="7"/>
  <c r="L40" i="13"/>
  <c r="I66" i="7"/>
  <c r="I40" i="13"/>
  <c r="K66" i="7"/>
  <c r="K40" i="13"/>
  <c r="K29" i="13"/>
  <c r="K36" i="13" s="1"/>
  <c r="K28" i="13"/>
  <c r="K35" i="13" s="1"/>
  <c r="K37" i="13" s="1"/>
  <c r="K31" i="13"/>
  <c r="K39" i="13"/>
  <c r="K34" i="13"/>
  <c r="K30" i="13"/>
  <c r="K7" i="7"/>
  <c r="K5" i="13" s="1"/>
  <c r="D64" i="7"/>
  <c r="E66" i="7"/>
  <c r="E40" i="13"/>
  <c r="L29" i="13"/>
  <c r="L36" i="13" s="1"/>
  <c r="L39" i="13"/>
  <c r="L31" i="13"/>
  <c r="L28" i="13"/>
  <c r="L35" i="13" s="1"/>
  <c r="L7" i="7"/>
  <c r="L5" i="13" s="1"/>
  <c r="L34" i="13"/>
  <c r="L30" i="13"/>
  <c r="G64" i="7"/>
  <c r="C64" i="7"/>
  <c r="J29" i="13"/>
  <c r="J36" i="13" s="1"/>
  <c r="J39" i="13"/>
  <c r="J28" i="13"/>
  <c r="J35" i="13" s="1"/>
  <c r="J31" i="13"/>
  <c r="J34" i="13"/>
  <c r="J30" i="13"/>
  <c r="M27" i="7"/>
  <c r="M28" i="7" s="1"/>
  <c r="M7" i="7"/>
  <c r="F66" i="7"/>
  <c r="F40" i="13"/>
  <c r="H66" i="7"/>
  <c r="H40" i="13"/>
  <c r="O9" i="13"/>
  <c r="N9" i="13"/>
  <c r="B16" i="8"/>
  <c r="M19" i="7"/>
  <c r="L22" i="7"/>
  <c r="K22" i="7"/>
  <c r="J22" i="7"/>
  <c r="M22" i="7"/>
  <c r="L25" i="7"/>
  <c r="L18" i="13" s="1"/>
  <c r="K25" i="7"/>
  <c r="K18" i="13" s="1"/>
  <c r="J25" i="7"/>
  <c r="J18" i="13" s="1"/>
  <c r="M25" i="7"/>
  <c r="L12" i="7"/>
  <c r="K12" i="7"/>
  <c r="J12" i="7"/>
  <c r="L10" i="7"/>
  <c r="K10" i="7"/>
  <c r="J10" i="7"/>
  <c r="M16" i="7"/>
  <c r="M12" i="7"/>
  <c r="M13" i="7" s="1"/>
  <c r="M10" i="7"/>
  <c r="L16" i="7"/>
  <c r="L17" i="13" s="1"/>
  <c r="K16" i="7"/>
  <c r="K17" i="13" s="1"/>
  <c r="J16" i="7"/>
  <c r="J17" i="13" s="1"/>
  <c r="L37" i="13" l="1"/>
  <c r="M31" i="7"/>
  <c r="J37" i="13"/>
  <c r="D66" i="7"/>
  <c r="D40" i="13"/>
  <c r="M33" i="7"/>
  <c r="M38" i="7" s="1"/>
  <c r="C66" i="7"/>
  <c r="C40" i="13"/>
  <c r="G66" i="7"/>
  <c r="G40" i="13"/>
  <c r="B17" i="8"/>
  <c r="J18" i="7"/>
  <c r="J13" i="7"/>
  <c r="J11" i="13" s="1"/>
  <c r="K18" i="7"/>
  <c r="K13" i="7"/>
  <c r="K11" i="13" s="1"/>
  <c r="L18" i="7"/>
  <c r="L13" i="7"/>
  <c r="L11" i="13" s="1"/>
  <c r="M34" i="7"/>
  <c r="D6" i="7"/>
  <c r="E6" i="7"/>
  <c r="F6" i="7"/>
  <c r="G6" i="7"/>
  <c r="H6" i="7"/>
  <c r="I6" i="7"/>
  <c r="C6" i="7"/>
  <c r="I3" i="7"/>
  <c r="H3" i="7"/>
  <c r="G3" i="7"/>
  <c r="F3" i="7"/>
  <c r="E3" i="7"/>
  <c r="D3" i="7"/>
  <c r="C3" i="7"/>
  <c r="B2" i="7"/>
  <c r="C5" i="1"/>
  <c r="D5" i="1"/>
  <c r="E5" i="1"/>
  <c r="F5" i="1"/>
  <c r="G5" i="1"/>
  <c r="H5" i="1"/>
  <c r="I5" i="1"/>
  <c r="J5" i="1"/>
  <c r="K5" i="1"/>
  <c r="B5" i="1"/>
  <c r="B6" i="6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D6" i="1" s="1"/>
  <c r="D19" i="1" s="1"/>
  <c r="E4" i="1"/>
  <c r="E6" i="1" s="1"/>
  <c r="E19" i="1" s="1"/>
  <c r="F4" i="1"/>
  <c r="G4" i="1"/>
  <c r="G6" i="1" s="1"/>
  <c r="G19" i="1" s="1"/>
  <c r="H4" i="1"/>
  <c r="I4" i="1"/>
  <c r="J4" i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G14" i="1" s="1"/>
  <c r="H12" i="1"/>
  <c r="H13" i="1" s="1"/>
  <c r="I12" i="1"/>
  <c r="I13" i="1" s="1"/>
  <c r="J12" i="1"/>
  <c r="J13" i="1" s="1"/>
  <c r="K12" i="1"/>
  <c r="K13" i="1" s="1"/>
  <c r="K14" i="1" s="1"/>
  <c r="C15" i="1"/>
  <c r="C14" i="1"/>
  <c r="D15" i="1"/>
  <c r="E15" i="1"/>
  <c r="F15" i="1"/>
  <c r="G15" i="1"/>
  <c r="H15" i="1"/>
  <c r="I15" i="1"/>
  <c r="J15" i="1"/>
  <c r="J14" i="1"/>
  <c r="K15" i="1"/>
  <c r="B15" i="1"/>
  <c r="B7" i="1"/>
  <c r="B4" i="1"/>
  <c r="A1" i="1"/>
  <c r="E1" i="6"/>
  <c r="H1" i="1" s="1"/>
  <c r="I6" i="1"/>
  <c r="I19" i="1" s="1"/>
  <c r="J6" i="1"/>
  <c r="J19" i="1"/>
  <c r="B6" i="1"/>
  <c r="B19" i="1" s="1"/>
  <c r="C3" i="1"/>
  <c r="D3" i="1"/>
  <c r="E3" i="1"/>
  <c r="F3" i="1"/>
  <c r="G3" i="1"/>
  <c r="H3" i="1"/>
  <c r="I3" i="1"/>
  <c r="J3" i="1"/>
  <c r="K3" i="1"/>
  <c r="L15" i="1"/>
  <c r="B12" i="1"/>
  <c r="B11" i="1"/>
  <c r="B10" i="1"/>
  <c r="B9" i="1"/>
  <c r="B8" i="1"/>
  <c r="B3" i="1"/>
  <c r="L12" i="1"/>
  <c r="L11" i="1"/>
  <c r="L10" i="1"/>
  <c r="N11" i="1" s="1"/>
  <c r="L6" i="1"/>
  <c r="L4" i="1"/>
  <c r="L23" i="1" s="1"/>
  <c r="H23" i="1"/>
  <c r="J23" i="1"/>
  <c r="L5" i="1"/>
  <c r="M11" i="1"/>
  <c r="H39" i="13" l="1"/>
  <c r="H34" i="13"/>
  <c r="H28" i="13"/>
  <c r="H35" i="13" s="1"/>
  <c r="H31" i="13"/>
  <c r="H7" i="7"/>
  <c r="H5" i="13" s="1"/>
  <c r="H29" i="13"/>
  <c r="H36" i="13" s="1"/>
  <c r="H30" i="13"/>
  <c r="G39" i="13"/>
  <c r="G28" i="13"/>
  <c r="G35" i="13" s="1"/>
  <c r="G31" i="13"/>
  <c r="G7" i="7"/>
  <c r="G5" i="13" s="1"/>
  <c r="G34" i="13"/>
  <c r="G30" i="13"/>
  <c r="G29" i="13"/>
  <c r="G36" i="13" s="1"/>
  <c r="O40" i="13"/>
  <c r="N40" i="13"/>
  <c r="F28" i="13"/>
  <c r="F35" i="13" s="1"/>
  <c r="F31" i="13"/>
  <c r="F7" i="7"/>
  <c r="F5" i="13" s="1"/>
  <c r="F34" i="13"/>
  <c r="F30" i="13"/>
  <c r="F29" i="13"/>
  <c r="F36" i="13" s="1"/>
  <c r="F39" i="13"/>
  <c r="E34" i="13"/>
  <c r="E30" i="13"/>
  <c r="E28" i="13"/>
  <c r="E35" i="13" s="1"/>
  <c r="E29" i="13"/>
  <c r="E36" i="13" s="1"/>
  <c r="E39" i="13"/>
  <c r="E31" i="13"/>
  <c r="I23" i="1"/>
  <c r="C39" i="13"/>
  <c r="C30" i="13"/>
  <c r="C31" i="13"/>
  <c r="C29" i="13"/>
  <c r="C36" i="13" s="1"/>
  <c r="C28" i="13"/>
  <c r="C35" i="13" s="1"/>
  <c r="C37" i="13"/>
  <c r="L13" i="1"/>
  <c r="L14" i="1" s="1"/>
  <c r="L25" i="1" s="1"/>
  <c r="I39" i="13"/>
  <c r="I28" i="13"/>
  <c r="I35" i="13" s="1"/>
  <c r="I31" i="13"/>
  <c r="I7" i="7"/>
  <c r="I5" i="13" s="1"/>
  <c r="I34" i="13"/>
  <c r="I29" i="13"/>
  <c r="I36" i="13" s="1"/>
  <c r="I30" i="13"/>
  <c r="J7" i="7"/>
  <c r="J5" i="13" s="1"/>
  <c r="L21" i="13"/>
  <c r="L13" i="13"/>
  <c r="L19" i="13" s="1"/>
  <c r="L6" i="13"/>
  <c r="K21" i="13"/>
  <c r="K13" i="13"/>
  <c r="K19" i="13" s="1"/>
  <c r="K6" i="13"/>
  <c r="J21" i="13"/>
  <c r="J13" i="13"/>
  <c r="J19" i="13" s="1"/>
  <c r="B18" i="8"/>
  <c r="D39" i="13"/>
  <c r="D28" i="13"/>
  <c r="D29" i="13"/>
  <c r="D30" i="13"/>
  <c r="D31" i="13"/>
  <c r="E7" i="7"/>
  <c r="E5" i="13" s="1"/>
  <c r="D7" i="7"/>
  <c r="D5" i="13" s="1"/>
  <c r="M42" i="7"/>
  <c r="M44" i="7"/>
  <c r="L19" i="7"/>
  <c r="L12" i="13" s="1"/>
  <c r="L27" i="7"/>
  <c r="K19" i="7"/>
  <c r="K12" i="13" s="1"/>
  <c r="K27" i="7"/>
  <c r="J19" i="7"/>
  <c r="J12" i="13" s="1"/>
  <c r="J27" i="7"/>
  <c r="C22" i="7"/>
  <c r="C25" i="7"/>
  <c r="C18" i="13" s="1"/>
  <c r="I22" i="7"/>
  <c r="I25" i="7"/>
  <c r="I18" i="13" s="1"/>
  <c r="H22" i="7"/>
  <c r="H25" i="7"/>
  <c r="H18" i="13" s="1"/>
  <c r="G22" i="7"/>
  <c r="G25" i="7"/>
  <c r="G18" i="13" s="1"/>
  <c r="F22" i="7"/>
  <c r="F25" i="7"/>
  <c r="F18" i="13" s="1"/>
  <c r="E22" i="7"/>
  <c r="E25" i="7"/>
  <c r="E18" i="13" s="1"/>
  <c r="D22" i="7"/>
  <c r="D25" i="7"/>
  <c r="D18" i="13" s="1"/>
  <c r="C12" i="7"/>
  <c r="C18" i="7" s="1"/>
  <c r="C10" i="7"/>
  <c r="C16" i="7"/>
  <c r="C17" i="13" s="1"/>
  <c r="I12" i="7"/>
  <c r="I10" i="7"/>
  <c r="I16" i="7"/>
  <c r="I17" i="13" s="1"/>
  <c r="H12" i="7"/>
  <c r="H10" i="7"/>
  <c r="H16" i="7"/>
  <c r="H17" i="13" s="1"/>
  <c r="G12" i="7"/>
  <c r="G10" i="7"/>
  <c r="G16" i="7"/>
  <c r="G17" i="13" s="1"/>
  <c r="F12" i="7"/>
  <c r="F10" i="7"/>
  <c r="F16" i="7"/>
  <c r="F17" i="13" s="1"/>
  <c r="E12" i="7"/>
  <c r="E10" i="7"/>
  <c r="E16" i="7"/>
  <c r="E17" i="13" s="1"/>
  <c r="D12" i="7"/>
  <c r="D10" i="7"/>
  <c r="D16" i="7"/>
  <c r="D17" i="13" s="1"/>
  <c r="L19" i="1"/>
  <c r="L24" i="1" s="1"/>
  <c r="B13" i="1"/>
  <c r="B14" i="1"/>
  <c r="I14" i="1"/>
  <c r="K25" i="1" s="1"/>
  <c r="M25" i="1" s="1"/>
  <c r="M14" i="1" s="1"/>
  <c r="H14" i="1"/>
  <c r="K24" i="1"/>
  <c r="M24" i="1" s="1"/>
  <c r="L9" i="1"/>
  <c r="N9" i="1" s="1"/>
  <c r="L8" i="1"/>
  <c r="N8" i="1" s="1"/>
  <c r="L7" i="1"/>
  <c r="D13" i="1"/>
  <c r="J25" i="1"/>
  <c r="K23" i="1"/>
  <c r="H6" i="1"/>
  <c r="H19" i="1" s="1"/>
  <c r="J24" i="1" s="1"/>
  <c r="F6" i="1"/>
  <c r="F19" i="1" s="1"/>
  <c r="G37" i="13" l="1"/>
  <c r="F37" i="13"/>
  <c r="C21" i="13"/>
  <c r="C13" i="13"/>
  <c r="C19" i="13" s="1"/>
  <c r="M9" i="1"/>
  <c r="M8" i="1"/>
  <c r="I37" i="13"/>
  <c r="H37" i="13"/>
  <c r="E37" i="13"/>
  <c r="K7" i="13"/>
  <c r="L7" i="13"/>
  <c r="O17" i="13"/>
  <c r="N17" i="13"/>
  <c r="O18" i="13"/>
  <c r="N18" i="13"/>
  <c r="O5" i="13"/>
  <c r="N5" i="13"/>
  <c r="O31" i="13"/>
  <c r="N31" i="13"/>
  <c r="O30" i="13"/>
  <c r="N30" i="13"/>
  <c r="D36" i="13"/>
  <c r="O29" i="13"/>
  <c r="N29" i="13"/>
  <c r="D35" i="13"/>
  <c r="O28" i="13"/>
  <c r="N28" i="13"/>
  <c r="D34" i="13"/>
  <c r="O27" i="13"/>
  <c r="N27" i="13"/>
  <c r="O39" i="13"/>
  <c r="N39" i="13"/>
  <c r="D18" i="7"/>
  <c r="D13" i="7"/>
  <c r="D11" i="13" s="1"/>
  <c r="E18" i="7"/>
  <c r="E13" i="7"/>
  <c r="E11" i="13" s="1"/>
  <c r="F18" i="7"/>
  <c r="F13" i="7"/>
  <c r="F11" i="13" s="1"/>
  <c r="G18" i="7"/>
  <c r="G13" i="7"/>
  <c r="G11" i="13" s="1"/>
  <c r="H18" i="7"/>
  <c r="H13" i="7"/>
  <c r="H11" i="13" s="1"/>
  <c r="I18" i="7"/>
  <c r="I13" i="7"/>
  <c r="I11" i="13" s="1"/>
  <c r="C13" i="7"/>
  <c r="C11" i="13" s="1"/>
  <c r="J33" i="7"/>
  <c r="J28" i="7"/>
  <c r="J14" i="13" s="1"/>
  <c r="J31" i="7"/>
  <c r="K33" i="7"/>
  <c r="K28" i="7"/>
  <c r="K14" i="13" s="1"/>
  <c r="K31" i="7"/>
  <c r="L33" i="7"/>
  <c r="L28" i="7"/>
  <c r="L14" i="13" s="1"/>
  <c r="L31" i="7"/>
  <c r="H24" i="1"/>
  <c r="I24" i="1"/>
  <c r="N24" i="1"/>
  <c r="N6" i="1" s="1"/>
  <c r="M23" i="1"/>
  <c r="M4" i="1" s="1"/>
  <c r="M6" i="1" s="1"/>
  <c r="M10" i="1" s="1"/>
  <c r="M12" i="1" s="1"/>
  <c r="M13" i="1" s="1"/>
  <c r="M15" i="1" s="1"/>
  <c r="N23" i="1"/>
  <c r="N4" i="1" s="1"/>
  <c r="E13" i="1"/>
  <c r="E14" i="1" s="1"/>
  <c r="I25" i="1" s="1"/>
  <c r="D14" i="1"/>
  <c r="H25" i="1" s="1"/>
  <c r="N25" i="1" s="1"/>
  <c r="N14" i="1" s="1"/>
  <c r="N10" i="1" l="1"/>
  <c r="N12" i="1" s="1"/>
  <c r="N13" i="1" s="1"/>
  <c r="N5" i="1"/>
  <c r="I4" i="8" a="1"/>
  <c r="L23" i="13"/>
  <c r="L8" i="13"/>
  <c r="K23" i="13"/>
  <c r="K8" i="13"/>
  <c r="J23" i="13"/>
  <c r="I10" i="8"/>
  <c r="J10" i="8" s="1"/>
  <c r="I21" i="13"/>
  <c r="I13" i="13"/>
  <c r="I19" i="13" s="1"/>
  <c r="I6" i="13"/>
  <c r="J6" i="13"/>
  <c r="I9" i="8"/>
  <c r="H21" i="13"/>
  <c r="H13" i="13"/>
  <c r="H19" i="13" s="1"/>
  <c r="H6" i="13"/>
  <c r="I8" i="8"/>
  <c r="G21" i="13"/>
  <c r="G13" i="13"/>
  <c r="G19" i="13" s="1"/>
  <c r="G6" i="13"/>
  <c r="F21" i="13"/>
  <c r="F13" i="13"/>
  <c r="F19" i="13" s="1"/>
  <c r="F6" i="13"/>
  <c r="I6" i="8"/>
  <c r="E21" i="13"/>
  <c r="E13" i="13"/>
  <c r="E19" i="13" s="1"/>
  <c r="O11" i="13"/>
  <c r="N11" i="13"/>
  <c r="D21" i="13"/>
  <c r="D13" i="13"/>
  <c r="E6" i="13"/>
  <c r="D6" i="13"/>
  <c r="O34" i="13"/>
  <c r="N34" i="13"/>
  <c r="D37" i="13"/>
  <c r="O35" i="13"/>
  <c r="N35" i="13"/>
  <c r="O36" i="13"/>
  <c r="N36" i="13"/>
  <c r="L38" i="7"/>
  <c r="L34" i="7"/>
  <c r="K38" i="7"/>
  <c r="K34" i="7"/>
  <c r="J38" i="7"/>
  <c r="J34" i="7"/>
  <c r="C19" i="7"/>
  <c r="C12" i="13" s="1"/>
  <c r="C27" i="7"/>
  <c r="I19" i="7"/>
  <c r="I12" i="13" s="1"/>
  <c r="I27" i="7"/>
  <c r="H19" i="7"/>
  <c r="H12" i="13" s="1"/>
  <c r="H27" i="7"/>
  <c r="G19" i="7"/>
  <c r="G12" i="13" s="1"/>
  <c r="G27" i="7"/>
  <c r="F19" i="7"/>
  <c r="F12" i="13" s="1"/>
  <c r="F27" i="7"/>
  <c r="E19" i="7"/>
  <c r="E12" i="13" s="1"/>
  <c r="E27" i="7"/>
  <c r="D19" i="7"/>
  <c r="D12" i="13" s="1"/>
  <c r="D27" i="7"/>
  <c r="N15" i="1"/>
  <c r="M5" i="1"/>
  <c r="J9" i="8" l="1"/>
  <c r="I4" i="8"/>
  <c r="I12" i="8"/>
  <c r="I13" i="8"/>
  <c r="J13" i="8" s="1"/>
  <c r="I11" i="8"/>
  <c r="J11" i="8" s="1"/>
  <c r="I5" i="8"/>
  <c r="J5" i="8" s="1"/>
  <c r="I7" i="8"/>
  <c r="J7" i="8" s="1"/>
  <c r="F7" i="13"/>
  <c r="G7" i="13"/>
  <c r="H7" i="13"/>
  <c r="I7" i="13"/>
  <c r="J7" i="13"/>
  <c r="E7" i="13"/>
  <c r="D7" i="13"/>
  <c r="O12" i="13"/>
  <c r="N12" i="13"/>
  <c r="O37" i="13"/>
  <c r="N37" i="13"/>
  <c r="O6" i="13"/>
  <c r="N6" i="13"/>
  <c r="D19" i="13"/>
  <c r="O13" i="13"/>
  <c r="N13" i="13"/>
  <c r="O25" i="13"/>
  <c r="N25" i="13"/>
  <c r="O21" i="13"/>
  <c r="N21" i="13"/>
  <c r="J42" i="7"/>
  <c r="J44" i="7"/>
  <c r="J22" i="13" s="1"/>
  <c r="J24" i="13" s="1"/>
  <c r="K42" i="7"/>
  <c r="K44" i="7"/>
  <c r="K22" i="13" s="1"/>
  <c r="K24" i="13" s="1"/>
  <c r="L42" i="7"/>
  <c r="L44" i="7"/>
  <c r="L22" i="13" s="1"/>
  <c r="L24" i="13" s="1"/>
  <c r="K39" i="7"/>
  <c r="L39" i="7"/>
  <c r="M39" i="7"/>
  <c r="D33" i="7"/>
  <c r="D28" i="7"/>
  <c r="D14" i="13" s="1"/>
  <c r="D31" i="7"/>
  <c r="E33" i="7"/>
  <c r="E23" i="13" s="1"/>
  <c r="E28" i="7"/>
  <c r="E14" i="13" s="1"/>
  <c r="E31" i="7"/>
  <c r="F33" i="7"/>
  <c r="F28" i="7"/>
  <c r="F14" i="13" s="1"/>
  <c r="F31" i="7"/>
  <c r="G33" i="7"/>
  <c r="G28" i="7"/>
  <c r="G14" i="13" s="1"/>
  <c r="G31" i="7"/>
  <c r="H33" i="7"/>
  <c r="H28" i="7"/>
  <c r="H14" i="13" s="1"/>
  <c r="H31" i="7"/>
  <c r="I33" i="7"/>
  <c r="I28" i="7"/>
  <c r="I14" i="13" s="1"/>
  <c r="I31" i="7"/>
  <c r="C33" i="7"/>
  <c r="C23" i="13" s="1"/>
  <c r="C28" i="7"/>
  <c r="C14" i="13" s="1"/>
  <c r="C31" i="7"/>
  <c r="J12" i="8" l="1"/>
  <c r="J6" i="8"/>
  <c r="I16" i="8"/>
  <c r="I17" i="8"/>
  <c r="J17" i="8" s="1"/>
  <c r="I18" i="8"/>
  <c r="J18" i="8" s="1"/>
  <c r="I15" i="8"/>
  <c r="I14" i="8"/>
  <c r="J14" i="8" s="1"/>
  <c r="J8" i="8"/>
  <c r="I23" i="13"/>
  <c r="I8" i="13"/>
  <c r="J8" i="13"/>
  <c r="H23" i="13"/>
  <c r="H8" i="13"/>
  <c r="G23" i="13"/>
  <c r="G8" i="13"/>
  <c r="F23" i="13"/>
  <c r="F8" i="13"/>
  <c r="O14" i="13"/>
  <c r="N14" i="13"/>
  <c r="D23" i="13"/>
  <c r="E8" i="13"/>
  <c r="D8" i="13"/>
  <c r="O19" i="13"/>
  <c r="N19" i="13"/>
  <c r="O7" i="13"/>
  <c r="N7" i="13"/>
  <c r="C38" i="7"/>
  <c r="C34" i="7"/>
  <c r="I38" i="7"/>
  <c r="I34" i="7"/>
  <c r="H38" i="7"/>
  <c r="H34" i="7"/>
  <c r="G38" i="7"/>
  <c r="G34" i="7"/>
  <c r="F38" i="7"/>
  <c r="F34" i="7"/>
  <c r="E38" i="7"/>
  <c r="E34" i="7"/>
  <c r="D38" i="7"/>
  <c r="D34" i="7"/>
  <c r="J15" i="8" l="1"/>
  <c r="J16" i="8"/>
  <c r="N4" i="8" a="1"/>
  <c r="N10" i="8" s="1"/>
  <c r="N5" i="8"/>
  <c r="N6" i="8"/>
  <c r="O6" i="8" s="1"/>
  <c r="O15" i="13"/>
  <c r="N15" i="13"/>
  <c r="O8" i="13"/>
  <c r="N8" i="13"/>
  <c r="O23" i="13"/>
  <c r="N23" i="13"/>
  <c r="E42" i="7"/>
  <c r="E44" i="7"/>
  <c r="E22" i="13" s="1"/>
  <c r="E24" i="13" s="1"/>
  <c r="F42" i="7"/>
  <c r="F44" i="7"/>
  <c r="F22" i="13" s="1"/>
  <c r="F24" i="13" s="1"/>
  <c r="G42" i="7"/>
  <c r="G44" i="7"/>
  <c r="G22" i="13" s="1"/>
  <c r="G24" i="13" s="1"/>
  <c r="H42" i="7"/>
  <c r="H44" i="7"/>
  <c r="H22" i="13" s="1"/>
  <c r="H24" i="13" s="1"/>
  <c r="I42" i="7"/>
  <c r="I44" i="7"/>
  <c r="I22" i="13" s="1"/>
  <c r="I24" i="13" s="1"/>
  <c r="C42" i="7"/>
  <c r="C44" i="7"/>
  <c r="C22" i="13" s="1"/>
  <c r="C24" i="13" s="1"/>
  <c r="D39" i="7"/>
  <c r="D42" i="7"/>
  <c r="D44" i="7" s="1"/>
  <c r="D22" i="13" s="1"/>
  <c r="E39" i="7"/>
  <c r="F39" i="7"/>
  <c r="G39" i="7"/>
  <c r="H39" i="7"/>
  <c r="I39" i="7"/>
  <c r="J39" i="7"/>
  <c r="N9" i="8" l="1"/>
  <c r="N7" i="8"/>
  <c r="O7" i="8" s="1"/>
  <c r="N4" i="8"/>
  <c r="O5" i="8"/>
  <c r="N12" i="8"/>
  <c r="O12" i="8" s="1"/>
  <c r="N13" i="8"/>
  <c r="N11" i="8"/>
  <c r="O11" i="8" s="1"/>
  <c r="N8" i="8"/>
  <c r="O8" i="8" s="1"/>
  <c r="O22" i="13"/>
  <c r="N22" i="13"/>
  <c r="D24" i="13"/>
  <c r="N14" i="8" l="1"/>
  <c r="O9" i="8"/>
  <c r="N15" i="8"/>
  <c r="O15" i="8" s="1"/>
  <c r="O13" i="8"/>
  <c r="O10" i="8"/>
  <c r="O24" i="13"/>
  <c r="N24" i="13"/>
  <c r="O14" i="8" l="1"/>
  <c r="N16" i="8"/>
  <c r="O16" i="8" l="1"/>
  <c r="N17" i="8"/>
  <c r="O17" i="8" s="1"/>
  <c r="N18" i="8" l="1"/>
  <c r="O18" i="8" s="1"/>
  <c r="D14" i="8"/>
  <c r="E15" i="8" s="1"/>
  <c r="E18" i="8"/>
  <c r="D18" i="8"/>
  <c r="D17" i="8"/>
  <c r="E17" i="8" s="1"/>
  <c r="D16" i="8"/>
  <c r="E16" i="8" s="1"/>
  <c r="D15" i="8"/>
  <c r="E13" i="8"/>
  <c r="E14" i="8" l="1"/>
</calcChain>
</file>

<file path=xl/sharedStrings.xml><?xml version="1.0" encoding="utf-8"?>
<sst xmlns="http://schemas.openxmlformats.org/spreadsheetml/2006/main" count="232" uniqueCount="173">
  <si>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</si>
  <si>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</si>
  <si>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</si>
  <si>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</si>
  <si>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</si>
  <si>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</si>
  <si>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</si>
  <si>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</si>
  <si>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</si>
  <si>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</si>
  <si>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</si>
  <si>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</si>
  <si>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</si>
  <si>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</si>
  <si>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</si>
  <si>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</si>
  <si>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</si>
  <si>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</si>
  <si>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</si>
  <si>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</si>
  <si>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</si>
  <si>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</si>
  <si>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</si>
  <si>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</si>
  <si>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</si>
  <si>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</si>
  <si>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</si>
  <si>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</si>
  <si>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</si>
  <si>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</si>
  <si>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</si>
  <si>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</si>
  <si>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</si>
  <si>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</si>
  <si>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</si>
  <si>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</si>
  <si>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</si>
  <si>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</si>
  <si>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</si>
  <si>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</si>
  <si>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</si>
  <si>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</si>
  <si>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</si>
  <si>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</si>
  <si>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</si>
  <si>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Price</t>
  </si>
  <si>
    <t>LATEST VERSION</t>
  </si>
  <si>
    <t>CURRENT VERSION</t>
  </si>
  <si>
    <t>TATA POWER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</si>
  <si>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</si>
  <si>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</si>
  <si>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</si>
  <si>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</si>
  <si>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</si>
  <si>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</si>
  <si>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</si>
  <si>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</si>
  <si>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</si>
  <si>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</si>
  <si>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</si>
  <si>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</si>
  <si>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</si>
  <si>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</si>
  <si>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</si>
  <si>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</si>
  <si>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</si>
  <si>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</si>
  <si>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</si>
  <si>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</si>
  <si>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</si>
  <si>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</si>
  <si>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</si>
  <si>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</si>
  <si>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</si>
  <si>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</si>
  <si>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</si>
  <si>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</si>
  <si>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</si>
  <si>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</si>
  <si>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-</t>
  </si>
  <si>
    <t>COGS</t>
  </si>
  <si>
    <t>Gross Profit</t>
  </si>
  <si>
    <t>Selling &amp; General Expense</t>
  </si>
  <si>
    <t>EBIDTA</t>
  </si>
  <si>
    <t>S&amp;G % Expenses</t>
  </si>
  <si>
    <t>EBIDTA Margins</t>
  </si>
  <si>
    <t xml:space="preserve"> </t>
  </si>
  <si>
    <t>Interest % Sales</t>
  </si>
  <si>
    <t>COGS % Sales</t>
  </si>
  <si>
    <t>Depreciation % Sales</t>
  </si>
  <si>
    <t>Gross Margin</t>
  </si>
  <si>
    <t>Earning Before Tax</t>
  </si>
  <si>
    <t>EBT % Sales</t>
  </si>
  <si>
    <t>Effective Tax Rate</t>
  </si>
  <si>
    <t>Net Profit</t>
  </si>
  <si>
    <t>Net Margins</t>
  </si>
  <si>
    <t>Dividend per Share</t>
  </si>
  <si>
    <t>No of Equity Shares</t>
  </si>
  <si>
    <t>Earning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</si>
  <si>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</si>
  <si>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</si>
  <si>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</si>
  <si>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</si>
  <si>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</si>
  <si>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</si>
  <si>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Assets</t>
  </si>
  <si>
    <t>Total Non Current Assets</t>
  </si>
  <si>
    <t>Total Current Assets</t>
  </si>
  <si>
    <t>Check</t>
  </si>
  <si>
    <t>Cash Flow Statement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</si>
  <si>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</si>
  <si>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</si>
  <si>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</si>
  <si>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</si>
  <si>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</si>
  <si>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</si>
  <si>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</si>
  <si>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</si>
  <si>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</si>
  <si>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</si>
  <si>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</si>
  <si>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</si>
  <si>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</si>
  <si>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</si>
  <si>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</si>
  <si>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</si>
  <si>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</si>
  <si>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</si>
  <si>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</si>
  <si>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</si>
  <si>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</si>
  <si>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</si>
  <si>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</si>
  <si>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</si>
  <si>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</si>
  <si>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</si>
  <si>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</si>
  <si>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</si>
  <si>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Profit Growth</t>
  </si>
  <si>
    <t>Dividend Growth</t>
  </si>
  <si>
    <t>EBIT Margin</t>
  </si>
  <si>
    <t>EBT Margin</t>
  </si>
  <si>
    <t>Net Profit Margin</t>
  </si>
  <si>
    <t>Sales Expense% Sales</t>
  </si>
  <si>
    <t>Depreciation% Sales</t>
  </si>
  <si>
    <t>Operating% Sales</t>
  </si>
  <si>
    <t>Return on Capital Employed</t>
  </si>
  <si>
    <t>Retained Earning%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</si>
  <si>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</si>
  <si>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</si>
  <si>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</si>
  <si>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</si>
  <si>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</si>
  <si>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</si>
  <si>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</si>
  <si>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</si>
  <si>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</si>
  <si>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</si>
  <si>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</si>
  <si>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</si>
  <si>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</si>
  <si>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</si>
  <si>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EBIT Growth</t>
  </si>
  <si>
    <t>EBIDTA Margin</t>
  </si>
  <si>
    <t>Cash Conversion Cycle (in days)</t>
  </si>
  <si>
    <t>Mean</t>
  </si>
  <si>
    <t>Median</t>
  </si>
  <si>
    <t>Trend</t>
  </si>
  <si>
    <t>Year Weight</t>
  </si>
  <si>
    <t>Year</t>
  </si>
  <si>
    <t>EBITDA Growth</t>
  </si>
  <si>
    <t>Average growth</t>
  </si>
  <si>
    <t>Geometric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</si>
</sst>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0.00&quot;x&quot;"/>
    <numFmt numFmtId="168" formatCode="0\ "/>
    <numFmt numFmtId="169" formatCode="yyyy"/>
    <numFmt numFmtId="170" formatCode="yyyy&quot;A&quot;"/>
    <numFmt numFmtId="171" formatCode="yyyy&quot;E&quot;"/>
    <numFmt numFmtId="172" formatCode="#,##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thick">
        <color rgb="FFDBE4F0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0" fontId="3" fillId="0" borderId="0"/>
  </cellStyleXfs>
  <cellXfs count="85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0" fontId="8" fillId="0" borderId="0" xfId="0" applyFont="1"/>
    <xf numFmtId="166" fontId="0" fillId="0" borderId="0" xfId="0" applyNumberFormat="1"/>
    <xf numFmtId="0" fontId="2" fillId="6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10" fontId="9" fillId="0" borderId="0" xfId="6" applyNumberFormat="1" applyFont="1"/>
    <xf numFmtId="0" fontId="1" fillId="7" borderId="0" xfId="0" applyFont="1" applyFill="1"/>
    <xf numFmtId="0" fontId="0" fillId="7" borderId="0" xfId="0" applyFill="1"/>
    <xf numFmtId="0" fontId="2" fillId="8" borderId="0" xfId="0" applyFont="1" applyFill="1"/>
    <xf numFmtId="17" fontId="2" fillId="8" borderId="0" xfId="0" applyNumberFormat="1" applyFont="1" applyFill="1"/>
    <xf numFmtId="0" fontId="2" fillId="8" borderId="0" xfId="0" applyFont="1" applyFill="1" applyAlignment="1">
      <alignment horizontal="center"/>
    </xf>
    <xf numFmtId="10" fontId="0" fillId="0" borderId="0" xfId="6" applyNumberFormat="1" applyFont="1"/>
    <xf numFmtId="166" fontId="1" fillId="0" borderId="0" xfId="0" applyNumberFormat="1" applyFont="1"/>
    <xf numFmtId="17" fontId="10" fillId="9" borderId="1" xfId="0" applyNumberFormat="1" applyFont="1" applyFill="1" applyBorder="1" applyAlignment="1">
      <alignment horizontal="right" vertical="center" wrapText="1" indent="1"/>
    </xf>
    <xf numFmtId="0" fontId="11" fillId="10" borderId="2" xfId="0" applyFont="1" applyFill="1" applyBorder="1" applyAlignment="1">
      <alignment horizontal="left" vertical="center" indent="2"/>
    </xf>
    <xf numFmtId="3" fontId="11" fillId="10" borderId="2" xfId="0" applyNumberFormat="1" applyFont="1" applyFill="1" applyBorder="1" applyAlignment="1">
      <alignment horizontal="right" vertical="center" wrapText="1" indent="1"/>
    </xf>
    <xf numFmtId="0" fontId="11" fillId="10" borderId="2" xfId="0" applyFont="1" applyFill="1" applyBorder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right" vertical="center" wrapText="1" indent="1"/>
    </xf>
    <xf numFmtId="3" fontId="13" fillId="10" borderId="0" xfId="0" applyNumberFormat="1" applyFont="1" applyFill="1" applyAlignment="1">
      <alignment horizontal="right" vertical="center" wrapText="1" indent="1"/>
    </xf>
    <xf numFmtId="0" fontId="11" fillId="10" borderId="2" xfId="0" applyFont="1" applyFill="1" applyBorder="1" applyAlignment="1">
      <alignment horizontal="right" vertical="center" wrapText="1" indent="1"/>
    </xf>
    <xf numFmtId="0" fontId="11" fillId="9" borderId="2" xfId="0" applyFont="1" applyFill="1" applyBorder="1" applyAlignment="1">
      <alignment horizontal="left" vertical="center" indent="2"/>
    </xf>
    <xf numFmtId="3" fontId="11" fillId="9" borderId="2" xfId="0" applyNumberFormat="1" applyFont="1" applyFill="1" applyBorder="1" applyAlignment="1">
      <alignment horizontal="right" vertical="center" wrapText="1" indent="1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 indent="1"/>
    </xf>
    <xf numFmtId="0" fontId="13" fillId="9" borderId="0" xfId="0" applyFont="1" applyFill="1" applyAlignment="1">
      <alignment horizontal="right" vertical="center" wrapText="1" indent="1"/>
    </xf>
    <xf numFmtId="0" fontId="11" fillId="9" borderId="2" xfId="0" applyFont="1" applyFill="1" applyBorder="1" applyAlignment="1">
      <alignment horizontal="right" vertical="center" wrapText="1" indent="1"/>
    </xf>
    <xf numFmtId="0" fontId="1" fillId="8" borderId="0" xfId="0" applyFont="1" applyFill="1"/>
    <xf numFmtId="0" fontId="0" fillId="8" borderId="0" xfId="0" applyFill="1"/>
    <xf numFmtId="0" fontId="1" fillId="0" borderId="3" xfId="0" applyFont="1" applyBorder="1"/>
    <xf numFmtId="166" fontId="1" fillId="0" borderId="3" xfId="0" applyNumberFormat="1" applyFont="1" applyBorder="1"/>
    <xf numFmtId="43" fontId="1" fillId="0" borderId="3" xfId="1" applyFont="1" applyBorder="1"/>
    <xf numFmtId="167" fontId="0" fillId="0" borderId="0" xfId="0" applyNumberFormat="1"/>
    <xf numFmtId="0" fontId="14" fillId="0" borderId="0" xfId="0" applyFont="1" applyAlignment="1">
      <alignment vertical="center"/>
    </xf>
    <xf numFmtId="10" fontId="0" fillId="0" borderId="0" xfId="6" applyNumberFormat="1" applyFont="1" applyBorder="1"/>
    <xf numFmtId="168" fontId="0" fillId="0" borderId="0" xfId="0" applyNumberFormat="1"/>
    <xf numFmtId="0" fontId="0" fillId="0" borderId="4" xfId="0" applyBorder="1"/>
    <xf numFmtId="10" fontId="0" fillId="0" borderId="4" xfId="6" applyNumberFormat="1" applyFont="1" applyBorder="1"/>
    <xf numFmtId="0" fontId="0" fillId="0" borderId="5" xfId="0" applyBorder="1"/>
    <xf numFmtId="10" fontId="0" fillId="0" borderId="5" xfId="6" applyNumberFormat="1" applyFont="1" applyBorder="1"/>
    <xf numFmtId="10" fontId="0" fillId="0" borderId="4" xfId="0" applyNumberFormat="1" applyBorder="1"/>
    <xf numFmtId="10" fontId="0" fillId="0" borderId="5" xfId="0" applyNumberFormat="1" applyBorder="1"/>
    <xf numFmtId="167" fontId="0" fillId="0" borderId="5" xfId="0" applyNumberFormat="1" applyBorder="1"/>
    <xf numFmtId="167" fontId="0" fillId="0" borderId="4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0" fontId="0" fillId="8" borderId="4" xfId="0" applyFill="1" applyBorder="1"/>
    <xf numFmtId="0" fontId="0" fillId="8" borderId="5" xfId="0" applyFill="1" applyBorder="1"/>
    <xf numFmtId="0" fontId="0" fillId="0" borderId="0" xfId="0" applyAlignment="1">
      <alignment horizontal="left"/>
    </xf>
    <xf numFmtId="0" fontId="15" fillId="6" borderId="0" xfId="0" applyFont="1" applyFill="1" applyAlignment="1">
      <alignment horizontal="left"/>
    </xf>
    <xf numFmtId="0" fontId="15" fillId="6" borderId="0" xfId="0" applyFont="1" applyFill="1" applyAlignment="1">
      <alignment horizontal="right"/>
    </xf>
    <xf numFmtId="169" fontId="0" fillId="0" borderId="0" xfId="0" applyNumberFormat="1" applyAlignment="1">
      <alignment horizontal="right"/>
    </xf>
    <xf numFmtId="169" fontId="0" fillId="0" borderId="0" xfId="1" applyNumberFormat="1" applyFont="1" applyBorder="1"/>
    <xf numFmtId="170" fontId="0" fillId="0" borderId="0" xfId="0" applyNumberFormat="1" applyAlignment="1">
      <alignment horizontal="right"/>
    </xf>
    <xf numFmtId="0" fontId="16" fillId="0" borderId="0" xfId="7" applyFont="1"/>
    <xf numFmtId="0" fontId="3" fillId="0" borderId="0" xfId="7"/>
    <xf numFmtId="172" fontId="0" fillId="0" borderId="0" xfId="0" applyNumberFormat="1"/>
    <xf numFmtId="0" fontId="0" fillId="11" borderId="0" xfId="0" applyFill="1" applyAlignment="1">
      <alignment horizontal="left"/>
    </xf>
    <xf numFmtId="171" fontId="0" fillId="11" borderId="0" xfId="0" applyNumberFormat="1" applyFill="1" applyAlignment="1">
      <alignment horizontal="right"/>
    </xf>
    <xf numFmtId="172" fontId="0" fillId="11" borderId="0" xfId="0" applyNumberFormat="1" applyFill="1"/>
    <xf numFmtId="10" fontId="3" fillId="0" borderId="0" xfId="6" applyNumberFormat="1" applyFont="1"/>
    <xf numFmtId="10" fontId="3" fillId="11" borderId="0" xfId="6" applyNumberFormat="1" applyFont="1" applyFill="1"/>
    <xf numFmtId="0" fontId="2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66" fontId="17" fillId="0" borderId="0" xfId="0" applyNumberFormat="1" applyFont="1"/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3" xfId="7" xr:uid="{F153F279-D707-46E9-9205-9B640520461B}"/>
    <cellStyle name="Percent" xfId="6" builtinId="5"/>
  </cellStyles>
  <dxfs count="19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8">
  <tableColumns count="14">
    <tableColumn id="1" xr3:uid="{00000000-0010-0000-0000-000001000000}" name="Column1" headerRowDxfId="17" dataDxfId="16"/>
    <tableColumn id="2" xr3:uid="{00000000-0010-0000-0000-000002000000}" name="Column2" headerRowDxfId="15"/>
    <tableColumn id="3" xr3:uid="{00000000-0010-0000-0000-000003000000}" name="Column3" headerRowDxfId="14"/>
    <tableColumn id="4" xr3:uid="{00000000-0010-0000-0000-000004000000}" name="Column4" headerRowDxfId="13"/>
    <tableColumn id="5" xr3:uid="{00000000-0010-0000-0000-000005000000}" name="Column5" headerRowDxfId="12"/>
    <tableColumn id="6" xr3:uid="{00000000-0010-0000-0000-000006000000}" name="Column6" headerRowDxfId="11"/>
    <tableColumn id="7" xr3:uid="{00000000-0010-0000-0000-000007000000}" name="Column7" headerRowDxfId="10"/>
    <tableColumn id="8" xr3:uid="{00000000-0010-0000-0000-000008000000}" name="Column8" headerRowDxfId="9"/>
    <tableColumn id="9" xr3:uid="{00000000-0010-0000-0000-000009000000}" name="Column9" headerRowDxfId="8"/>
    <tableColumn id="10" xr3:uid="{00000000-0010-0000-0000-00000A000000}" name="Column10" headerRowDxfId="7"/>
    <tableColumn id="11" xr3:uid="{00000000-0010-0000-0000-00000B000000}" name="Column11" headerRowDxfId="6"/>
    <tableColumn id="12" xr3:uid="{00000000-0010-0000-0000-00000C000000}" name="Column12" headerRow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E14" sqref="E14"/>
    </sheetView>
  </sheetViews>
  <sheetFormatPr defaultColWidth="8.88671875" defaultRowHeight="14.4" x14ac:dyDescent="0.3"/>
  <cols>
    <col min="1" max="1" width="20.6640625" customWidth="1"/>
    <col min="2" max="6" width="13.44140625" customWidth="1"/>
    <col min="7" max="7" width="14.886718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TATA POWER COMPANY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0" t="s">
        <v>2</v>
      </c>
      <c r="B3" s="11">
        <f>'Data Sheet'!B16</f>
        <v>42460</v>
      </c>
      <c r="C3" s="11">
        <f>'Data Sheet'!C16</f>
        <v>42825</v>
      </c>
      <c r="D3" s="11">
        <f>'Data Sheet'!D16</f>
        <v>43190</v>
      </c>
      <c r="E3" s="11">
        <f>'Data Sheet'!E16</f>
        <v>43555</v>
      </c>
      <c r="F3" s="11">
        <f>'Data Sheet'!F16</f>
        <v>43921</v>
      </c>
      <c r="G3" s="11">
        <f>'Data Sheet'!G16</f>
        <v>44286</v>
      </c>
      <c r="H3" s="11">
        <f>'Data Sheet'!H16</f>
        <v>44651</v>
      </c>
      <c r="I3" s="11">
        <f>'Data Sheet'!I16</f>
        <v>45016</v>
      </c>
      <c r="J3" s="11">
        <f>'Data Sheet'!J16</f>
        <v>45382</v>
      </c>
      <c r="K3" s="11">
        <f>'Data Sheet'!K16</f>
        <v>45747</v>
      </c>
      <c r="L3" s="12" t="s">
        <v>3</v>
      </c>
      <c r="M3" s="12" t="s">
        <v>4</v>
      </c>
      <c r="N3" s="12" t="s">
        <v>5</v>
      </c>
    </row>
    <row r="4" spans="1:14" s="2" customFormat="1" x14ac:dyDescent="0.3">
      <c r="A4" s="2" t="s">
        <v>6</v>
      </c>
      <c r="B4" s="1">
        <f>'Data Sheet'!B17</f>
        <v>29494.3</v>
      </c>
      <c r="C4" s="1">
        <f>'Data Sheet'!C17</f>
        <v>27587.59</v>
      </c>
      <c r="D4" s="1">
        <f>'Data Sheet'!D17</f>
        <v>26840.27</v>
      </c>
      <c r="E4" s="1">
        <f>'Data Sheet'!E17</f>
        <v>29881.06</v>
      </c>
      <c r="F4" s="1">
        <f>'Data Sheet'!F17</f>
        <v>29136.37</v>
      </c>
      <c r="G4" s="1">
        <f>'Data Sheet'!G17</f>
        <v>32703.31</v>
      </c>
      <c r="H4" s="1">
        <f>'Data Sheet'!H17</f>
        <v>42815.67</v>
      </c>
      <c r="I4" s="1">
        <f>'Data Sheet'!I17</f>
        <v>55109.08</v>
      </c>
      <c r="J4" s="1">
        <f>'Data Sheet'!J17</f>
        <v>61448.9</v>
      </c>
      <c r="K4" s="1">
        <f>'Data Sheet'!K17</f>
        <v>65478.239999999998</v>
      </c>
      <c r="L4" s="1" t="e">
        <f>SUM(#REF!)</f>
        <v>#REF!</v>
      </c>
      <c r="M4" s="1">
        <f>$K4+M23*K4</f>
        <v>75438.853893285384</v>
      </c>
      <c r="N4" s="1" t="e">
        <f>$K4+N23*L4</f>
        <v>#REF!</v>
      </c>
    </row>
    <row r="5" spans="1:14" x14ac:dyDescent="0.3">
      <c r="A5" t="s">
        <v>7</v>
      </c>
      <c r="B5" s="6">
        <f>SUM('Data Sheet'!B18,'Data Sheet'!B20:B24, -1*'Data Sheet'!B19)</f>
        <v>27389.07</v>
      </c>
      <c r="C5" s="6">
        <f>SUM('Data Sheet'!C18,'Data Sheet'!C20:C24, -1*'Data Sheet'!C19)</f>
        <v>22114.32</v>
      </c>
      <c r="D5" s="6">
        <f>SUM('Data Sheet'!D18,'Data Sheet'!D20:D24, -1*'Data Sheet'!D19)</f>
        <v>24545.439999999999</v>
      </c>
      <c r="E5" s="6">
        <f>SUM('Data Sheet'!E18,'Data Sheet'!E20:E24, -1*'Data Sheet'!E19)</f>
        <v>26811.149999999998</v>
      </c>
      <c r="F5" s="6">
        <f>SUM('Data Sheet'!F18,'Data Sheet'!F20:F24, -1*'Data Sheet'!F19)</f>
        <v>22331.299999999996</v>
      </c>
      <c r="G5" s="6">
        <f>SUM('Data Sheet'!G18,'Data Sheet'!G20:G24, -1*'Data Sheet'!G19)</f>
        <v>25782.410000000003</v>
      </c>
      <c r="H5" s="6">
        <f>SUM('Data Sheet'!H18,'Data Sheet'!H20:H24, -1*'Data Sheet'!H19)</f>
        <v>35784.78</v>
      </c>
      <c r="I5" s="6">
        <f>SUM('Data Sheet'!I18,'Data Sheet'!I20:I24, -1*'Data Sheet'!I19)</f>
        <v>47381.32</v>
      </c>
      <c r="J5" s="6">
        <f>SUM('Data Sheet'!J18,'Data Sheet'!J20:J24, -1*'Data Sheet'!J19)</f>
        <v>50713.62</v>
      </c>
      <c r="K5" s="6">
        <f>SUM('Data Sheet'!K18,'Data Sheet'!K20:K24, -1*'Data Sheet'!K19)</f>
        <v>53312.65</v>
      </c>
      <c r="L5" s="6" t="e">
        <f>SUM(#REF!)</f>
        <v>#REF!</v>
      </c>
      <c r="M5" s="6" t="e">
        <f t="shared" ref="M5:N5" si="0">M4-M6</f>
        <v>#REF!</v>
      </c>
      <c r="N5" s="6" t="e">
        <f t="shared" si="0"/>
        <v>#REF!</v>
      </c>
    </row>
    <row r="6" spans="1:14" s="2" customFormat="1" x14ac:dyDescent="0.3">
      <c r="A6" s="2" t="s">
        <v>8</v>
      </c>
      <c r="B6" s="1">
        <f>B4-B5</f>
        <v>2105.2299999999996</v>
      </c>
      <c r="C6" s="1">
        <f t="shared" ref="C6:K6" si="1">C4-C5</f>
        <v>5473.27</v>
      </c>
      <c r="D6" s="1">
        <f t="shared" si="1"/>
        <v>2294.8300000000017</v>
      </c>
      <c r="E6" s="1">
        <f t="shared" si="1"/>
        <v>3069.9100000000035</v>
      </c>
      <c r="F6" s="1">
        <f t="shared" si="1"/>
        <v>6805.0700000000033</v>
      </c>
      <c r="G6" s="1">
        <f t="shared" si="1"/>
        <v>6920.8999999999978</v>
      </c>
      <c r="H6" s="1">
        <f t="shared" si="1"/>
        <v>7030.8899999999994</v>
      </c>
      <c r="I6" s="1">
        <f t="shared" si="1"/>
        <v>7727.760000000002</v>
      </c>
      <c r="J6" s="1">
        <f t="shared" si="1"/>
        <v>10735.279999999999</v>
      </c>
      <c r="K6" s="1">
        <f t="shared" si="1"/>
        <v>12165.589999999997</v>
      </c>
      <c r="L6" s="1" t="e">
        <f>SUM(#REF!)</f>
        <v>#REF!</v>
      </c>
      <c r="M6" s="1" t="e">
        <f>M4*M24</f>
        <v>#REF!</v>
      </c>
      <c r="N6" s="1" t="e">
        <f>N4*N24</f>
        <v>#REF!</v>
      </c>
    </row>
    <row r="7" spans="1:14" x14ac:dyDescent="0.3">
      <c r="A7" t="s">
        <v>9</v>
      </c>
      <c r="B7" s="6">
        <f>'Data Sheet'!B25</f>
        <v>4060.02</v>
      </c>
      <c r="C7" s="6">
        <f>'Data Sheet'!C25</f>
        <v>1297.3699999999999</v>
      </c>
      <c r="D7" s="6">
        <f>'Data Sheet'!D25</f>
        <v>6585.64</v>
      </c>
      <c r="E7" s="6">
        <f>'Data Sheet'!E25</f>
        <v>7186.47</v>
      </c>
      <c r="F7" s="6">
        <f>'Data Sheet'!F25</f>
        <v>2280.15</v>
      </c>
      <c r="G7" s="6">
        <f>'Data Sheet'!G25</f>
        <v>1774.96</v>
      </c>
      <c r="H7" s="6">
        <f>'Data Sheet'!H25</f>
        <v>2485.5</v>
      </c>
      <c r="I7" s="6">
        <f>'Data Sheet'!I25</f>
        <v>5540.09</v>
      </c>
      <c r="J7" s="6">
        <f>'Data Sheet'!J25</f>
        <v>3416.33</v>
      </c>
      <c r="K7" s="6">
        <f>'Data Sheet'!K25</f>
        <v>2973.33</v>
      </c>
      <c r="L7" s="6" t="e">
        <f>SUM(#REF!)</f>
        <v>#REF!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1648.73</v>
      </c>
      <c r="C8" s="6">
        <f>'Data Sheet'!C26</f>
        <v>1955.59</v>
      </c>
      <c r="D8" s="6">
        <f>'Data Sheet'!D26</f>
        <v>2346.17</v>
      </c>
      <c r="E8" s="6">
        <f>'Data Sheet'!E26</f>
        <v>2393.13</v>
      </c>
      <c r="F8" s="6">
        <f>'Data Sheet'!F26</f>
        <v>2633.56</v>
      </c>
      <c r="G8" s="6">
        <f>'Data Sheet'!G26</f>
        <v>2744.94</v>
      </c>
      <c r="H8" s="6">
        <f>'Data Sheet'!H26</f>
        <v>3122.2</v>
      </c>
      <c r="I8" s="6">
        <f>'Data Sheet'!I26</f>
        <v>3439.2</v>
      </c>
      <c r="J8" s="6">
        <f>'Data Sheet'!J26</f>
        <v>3786.37</v>
      </c>
      <c r="K8" s="6">
        <f>'Data Sheet'!K26</f>
        <v>4116.8599999999997</v>
      </c>
      <c r="L8" s="6" t="e">
        <f>SUM(#REF!)</f>
        <v>#REF!</v>
      </c>
      <c r="M8" s="6" t="e">
        <f>+$L8</f>
        <v>#REF!</v>
      </c>
      <c r="N8" s="6" t="e">
        <f>+$L8</f>
        <v>#REF!</v>
      </c>
    </row>
    <row r="9" spans="1:14" x14ac:dyDescent="0.3">
      <c r="A9" t="s">
        <v>11</v>
      </c>
      <c r="B9" s="6">
        <f>'Data Sheet'!B27</f>
        <v>3235.81</v>
      </c>
      <c r="C9" s="6">
        <f>'Data Sheet'!C27</f>
        <v>3364.96</v>
      </c>
      <c r="D9" s="6">
        <f>'Data Sheet'!D27</f>
        <v>3761.48</v>
      </c>
      <c r="E9" s="6">
        <f>'Data Sheet'!E27</f>
        <v>4170</v>
      </c>
      <c r="F9" s="6">
        <f>'Data Sheet'!F27</f>
        <v>4493.7299999999996</v>
      </c>
      <c r="G9" s="6">
        <f>'Data Sheet'!G27</f>
        <v>4010.39</v>
      </c>
      <c r="H9" s="6">
        <f>'Data Sheet'!H27</f>
        <v>3859.02</v>
      </c>
      <c r="I9" s="6">
        <f>'Data Sheet'!I27</f>
        <v>4371.6499999999996</v>
      </c>
      <c r="J9" s="6">
        <f>'Data Sheet'!J27</f>
        <v>4633.22</v>
      </c>
      <c r="K9" s="6">
        <f>'Data Sheet'!K27</f>
        <v>4702.4399999999996</v>
      </c>
      <c r="L9" s="6" t="e">
        <f>SUM(#REF!)</f>
        <v>#REF!</v>
      </c>
      <c r="M9" s="6" t="e">
        <f>+$L9</f>
        <v>#REF!</v>
      </c>
      <c r="N9" s="6" t="e">
        <f>+$L9</f>
        <v>#REF!</v>
      </c>
    </row>
    <row r="10" spans="1:14" x14ac:dyDescent="0.3">
      <c r="A10" t="s">
        <v>12</v>
      </c>
      <c r="B10" s="6">
        <f>'Data Sheet'!B28</f>
        <v>1280.71</v>
      </c>
      <c r="C10" s="6">
        <f>'Data Sheet'!C28</f>
        <v>1450.09</v>
      </c>
      <c r="D10" s="6">
        <f>'Data Sheet'!D28</f>
        <v>2772.82</v>
      </c>
      <c r="E10" s="6">
        <f>'Data Sheet'!E28</f>
        <v>3693.25</v>
      </c>
      <c r="F10" s="6">
        <f>'Data Sheet'!F28</f>
        <v>1957.93</v>
      </c>
      <c r="G10" s="6">
        <f>'Data Sheet'!G28</f>
        <v>1940.53</v>
      </c>
      <c r="H10" s="6">
        <f>'Data Sheet'!H28</f>
        <v>2535.17</v>
      </c>
      <c r="I10" s="6">
        <f>'Data Sheet'!I28</f>
        <v>5457</v>
      </c>
      <c r="J10" s="6">
        <f>'Data Sheet'!J28</f>
        <v>5732.02</v>
      </c>
      <c r="K10" s="6">
        <f>'Data Sheet'!K28</f>
        <v>6319.62</v>
      </c>
      <c r="L10" s="6" t="e">
        <f>SUM(#REF!)</f>
        <v>#REF!</v>
      </c>
      <c r="M10" s="6" t="e">
        <f>M6+M7-SUM(M8:M9)</f>
        <v>#REF!</v>
      </c>
      <c r="N10" s="6" t="e">
        <f>N6+N7-SUM(N8:N9)</f>
        <v>#REF!</v>
      </c>
    </row>
    <row r="11" spans="1:14" x14ac:dyDescent="0.3">
      <c r="A11" t="s">
        <v>13</v>
      </c>
      <c r="B11" s="6">
        <f>'Data Sheet'!B29</f>
        <v>680.31</v>
      </c>
      <c r="C11" s="6">
        <f>'Data Sheet'!C29</f>
        <v>350.46</v>
      </c>
      <c r="D11" s="6">
        <f>'Data Sheet'!D29</f>
        <v>161.97</v>
      </c>
      <c r="E11" s="6">
        <f>'Data Sheet'!E29</f>
        <v>1087.5899999999999</v>
      </c>
      <c r="F11" s="6">
        <f>'Data Sheet'!F29</f>
        <v>641.49</v>
      </c>
      <c r="G11" s="6">
        <f>'Data Sheet'!G29</f>
        <v>501.88</v>
      </c>
      <c r="H11" s="6">
        <f>'Data Sheet'!H29</f>
        <v>379.56</v>
      </c>
      <c r="I11" s="6">
        <f>'Data Sheet'!I29</f>
        <v>1647.33</v>
      </c>
      <c r="J11" s="6">
        <f>'Data Sheet'!J29</f>
        <v>1451.92</v>
      </c>
      <c r="K11" s="6">
        <f>'Data Sheet'!K29</f>
        <v>1544.25</v>
      </c>
      <c r="L11" s="6" t="e">
        <f>SUM(#REF!)</f>
        <v>#REF!</v>
      </c>
      <c r="M11" s="7" t="e">
        <f>IF($L10&gt;0,$L11/$L10,0)</f>
        <v>#REF!</v>
      </c>
      <c r="N11" s="7" t="e">
        <f>IF($L10&gt;0,$L11/$L10,0)</f>
        <v>#REF!</v>
      </c>
    </row>
    <row r="12" spans="1:14" s="2" customFormat="1" x14ac:dyDescent="0.3">
      <c r="A12" s="2" t="s">
        <v>14</v>
      </c>
      <c r="B12" s="1">
        <f>'Data Sheet'!B30</f>
        <v>662.2</v>
      </c>
      <c r="C12" s="1">
        <f>'Data Sheet'!C30</f>
        <v>896.55</v>
      </c>
      <c r="D12" s="1">
        <f>'Data Sheet'!D30</f>
        <v>2408.3000000000002</v>
      </c>
      <c r="E12" s="1">
        <f>'Data Sheet'!E30</f>
        <v>2356.19</v>
      </c>
      <c r="F12" s="1">
        <f>'Data Sheet'!F30</f>
        <v>1017.38</v>
      </c>
      <c r="G12" s="1">
        <f>'Data Sheet'!G30</f>
        <v>1127.3800000000001</v>
      </c>
      <c r="H12" s="1">
        <f>'Data Sheet'!H30</f>
        <v>1741.46</v>
      </c>
      <c r="I12" s="1">
        <f>'Data Sheet'!I30</f>
        <v>3336.44</v>
      </c>
      <c r="J12" s="1">
        <f>'Data Sheet'!J30</f>
        <v>3696.25</v>
      </c>
      <c r="K12" s="1">
        <f>'Data Sheet'!K30</f>
        <v>3971</v>
      </c>
      <c r="L12" s="1" t="e">
        <f>SUM(#REF!)</f>
        <v>#REF!</v>
      </c>
      <c r="M12" s="1" t="e">
        <f>M10-M11*M10</f>
        <v>#REF!</v>
      </c>
      <c r="N12" s="1" t="e">
        <f>N10-N11*N10</f>
        <v>#REF!</v>
      </c>
    </row>
    <row r="13" spans="1:14" x14ac:dyDescent="0.3">
      <c r="A13" t="s">
        <v>44</v>
      </c>
      <c r="B13" s="6">
        <f>IF('Data Sheet'!B93&gt;0,B12/'Data Sheet'!B93,0)</f>
        <v>2.4484212083117654</v>
      </c>
      <c r="C13" s="6">
        <f>IF('Data Sheet'!C93&gt;0,C12/'Data Sheet'!C93,0)</f>
        <v>3.314662821650399</v>
      </c>
      <c r="D13" s="6">
        <f>IF('Data Sheet'!D93&gt;0,D12/'Data Sheet'!D93,0)</f>
        <v>8.9038006506950609</v>
      </c>
      <c r="E13" s="6">
        <f>IF('Data Sheet'!E93&gt;0,E12/'Data Sheet'!E93,0)</f>
        <v>8.7111431529133387</v>
      </c>
      <c r="F13" s="6">
        <f>IF('Data Sheet'!F93&gt;0,F12/'Data Sheet'!F93,0)</f>
        <v>3.7613871635610763</v>
      </c>
      <c r="G13" s="6">
        <f>IF('Data Sheet'!G93&gt;0,G12/'Data Sheet'!G93,0)</f>
        <v>3.5282446092698656</v>
      </c>
      <c r="H13" s="6">
        <f>IF('Data Sheet'!H93&gt;0,H12/'Data Sheet'!H93,0)</f>
        <v>5.4500672863267932</v>
      </c>
      <c r="I13" s="6">
        <f>IF('Data Sheet'!I93&gt;0,I12/'Data Sheet'!I93,0)</f>
        <v>10.441711263418146</v>
      </c>
      <c r="J13" s="6">
        <f>IF('Data Sheet'!J93&gt;0,J12/'Data Sheet'!J93,0)</f>
        <v>11.567771414264703</v>
      </c>
      <c r="K13" s="6">
        <f>IF('Data Sheet'!K93&gt;0,K12/'Data Sheet'!K93,0)</f>
        <v>12.427628078740652</v>
      </c>
      <c r="L13" s="6" t="e">
        <f>IF('Data Sheet'!$B6&gt;0,'Profit &amp; Loss'!L12/'Data Sheet'!$B6,0)</f>
        <v>#REF!</v>
      </c>
      <c r="M13" s="6" t="e">
        <f>IF('Data Sheet'!$B6&gt;0,'Profit &amp; Loss'!M12/'Data Sheet'!$B6,0)</f>
        <v>#REF!</v>
      </c>
      <c r="N13" s="6" t="e">
        <f>IF('Data Sheet'!$B6&gt;0,'Profit &amp; Loss'!N12/'Data Sheet'!$B6,0)</f>
        <v>#REF!</v>
      </c>
    </row>
    <row r="14" spans="1:14" x14ac:dyDescent="0.3">
      <c r="A14" t="s">
        <v>16</v>
      </c>
      <c r="B14" s="6">
        <f>IF(B15&gt;0,B15/B13,"")</f>
        <v>26.404770462096042</v>
      </c>
      <c r="C14" s="6">
        <f t="shared" ref="C14:K14" si="2">IF(C15&gt;0,C15/C13,"")</f>
        <v>27.257674418604651</v>
      </c>
      <c r="D14" s="6">
        <f t="shared" si="2"/>
        <v>8.8726155379313205</v>
      </c>
      <c r="E14" s="6">
        <f t="shared" si="2"/>
        <v>8.471907613562573</v>
      </c>
      <c r="F14" s="6">
        <f t="shared" si="2"/>
        <v>8.7334801155910284</v>
      </c>
      <c r="G14" s="6">
        <f t="shared" si="2"/>
        <v>29.263844045485989</v>
      </c>
      <c r="H14" s="6">
        <f t="shared" si="2"/>
        <v>43.788450208445781</v>
      </c>
      <c r="I14" s="6">
        <f t="shared" si="2"/>
        <v>18.220193529630382</v>
      </c>
      <c r="J14" s="6">
        <f t="shared" si="2"/>
        <v>34.077436861684134</v>
      </c>
      <c r="K14" s="6">
        <f t="shared" si="2"/>
        <v>30.206890455804579</v>
      </c>
      <c r="L14" s="6" t="e">
        <f t="shared" ref="L14" si="3">IF(L13&gt;0,L15/L13,0)</f>
        <v>#REF!</v>
      </c>
      <c r="M14" s="6" t="e">
        <f>M25</f>
        <v>#REF!</v>
      </c>
      <c r="N14" s="6" t="e">
        <f>N25</f>
        <v>#REF!</v>
      </c>
    </row>
    <row r="15" spans="1:14" s="2" customFormat="1" x14ac:dyDescent="0.3">
      <c r="A15" s="2" t="s">
        <v>45</v>
      </c>
      <c r="B15" s="1">
        <f>'Data Sheet'!B90</f>
        <v>64.650000000000006</v>
      </c>
      <c r="C15" s="1">
        <f>'Data Sheet'!C90</f>
        <v>90.35</v>
      </c>
      <c r="D15" s="1">
        <f>'Data Sheet'!D90</f>
        <v>79</v>
      </c>
      <c r="E15" s="1">
        <f>'Data Sheet'!E90</f>
        <v>73.8</v>
      </c>
      <c r="F15" s="1">
        <f>'Data Sheet'!F90</f>
        <v>32.85</v>
      </c>
      <c r="G15" s="1">
        <f>'Data Sheet'!G90</f>
        <v>103.25</v>
      </c>
      <c r="H15" s="1">
        <f>'Data Sheet'!H90</f>
        <v>238.65</v>
      </c>
      <c r="I15" s="1">
        <f>'Data Sheet'!I90</f>
        <v>190.25</v>
      </c>
      <c r="J15" s="1">
        <f>'Data Sheet'!J90</f>
        <v>394.2</v>
      </c>
      <c r="K15" s="1">
        <f>'Data Sheet'!K90</f>
        <v>375.4</v>
      </c>
      <c r="L15" s="1">
        <f>'Data Sheet'!B8</f>
        <v>367.4</v>
      </c>
      <c r="M15" s="8" t="e">
        <f>M13*M14</f>
        <v>#REF!</v>
      </c>
      <c r="N15" s="9" t="e">
        <f>N13*N14</f>
        <v>#REF!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0.53098761703412867</v>
      </c>
      <c r="C18" s="5">
        <f>IF('Data Sheet'!C30&gt;0, 'Data Sheet'!C31/'Data Sheet'!C30, 0)</f>
        <v>0.39222575428029671</v>
      </c>
      <c r="D18" s="5">
        <f>IF('Data Sheet'!D30&gt;0, 'Data Sheet'!D31/'Data Sheet'!D30, 0)</f>
        <v>0.14601586181123613</v>
      </c>
      <c r="E18" s="5">
        <f>IF('Data Sheet'!E30&gt;0, 'Data Sheet'!E31/'Data Sheet'!E30, 0)</f>
        <v>0.14924517971810422</v>
      </c>
      <c r="F18" s="5">
        <f>IF('Data Sheet'!F30&gt;0, 'Data Sheet'!F31/'Data Sheet'!F30, 0)</f>
        <v>0.41211739959503824</v>
      </c>
      <c r="G18" s="5">
        <f>IF('Data Sheet'!G30&gt;0, 'Data Sheet'!G31/'Data Sheet'!G30, 0)</f>
        <v>0.43935496460820661</v>
      </c>
      <c r="H18" s="5">
        <f>IF('Data Sheet'!H30&gt;0, 'Data Sheet'!H31/'Data Sheet'!H30, 0)</f>
        <v>0.3211271002492162</v>
      </c>
      <c r="I18" s="5">
        <f>IF('Data Sheet'!I30&gt;0, 'Data Sheet'!I31/'Data Sheet'!I30, 0)</f>
        <v>0.19155746843941446</v>
      </c>
      <c r="J18" s="5">
        <f>IF('Data Sheet'!J30&gt;0, 'Data Sheet'!J31/'Data Sheet'!J30, 0)</f>
        <v>0.17291038214406493</v>
      </c>
      <c r="K18" s="5">
        <f>IF('Data Sheet'!K30&gt;0, 'Data Sheet'!K31/'Data Sheet'!K30, 0)</f>
        <v>0.20118358096197431</v>
      </c>
    </row>
    <row r="19" spans="1:14" x14ac:dyDescent="0.3">
      <c r="A19" t="s">
        <v>18</v>
      </c>
      <c r="B19" s="5">
        <f t="shared" ref="B19:L19" si="4">IF(B6&gt;0,B6/B4,0)</f>
        <v>7.1377520402247208E-2</v>
      </c>
      <c r="C19" s="5">
        <f t="shared" ref="C19:K19" si="5">IF(C6&gt;0,C6/C4,0)</f>
        <v>0.19839609041601677</v>
      </c>
      <c r="D19" s="5">
        <f t="shared" si="5"/>
        <v>8.5499512486275353E-2</v>
      </c>
      <c r="E19" s="5">
        <f t="shared" si="5"/>
        <v>0.10273765388510325</v>
      </c>
      <c r="F19" s="5">
        <f t="shared" si="5"/>
        <v>0.23355929376240087</v>
      </c>
      <c r="G19" s="5">
        <f t="shared" si="5"/>
        <v>0.21162689648234376</v>
      </c>
      <c r="H19" s="5">
        <f t="shared" si="5"/>
        <v>0.16421300892874033</v>
      </c>
      <c r="I19" s="5">
        <f t="shared" si="5"/>
        <v>0.14022661964235297</v>
      </c>
      <c r="J19" s="5">
        <f t="shared" si="5"/>
        <v>0.17470255773496349</v>
      </c>
      <c r="K19" s="5">
        <f t="shared" si="5"/>
        <v>0.18579592243163526</v>
      </c>
      <c r="L19" s="5" t="e">
        <f t="shared" si="4"/>
        <v>#REF!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0"/>
      <c r="B22" s="11"/>
      <c r="C22" s="11"/>
      <c r="D22" s="11"/>
      <c r="E22" s="11"/>
      <c r="F22" s="11"/>
      <c r="G22" s="11" t="s">
        <v>19</v>
      </c>
      <c r="H22" s="11" t="s">
        <v>50</v>
      </c>
      <c r="I22" s="11" t="s">
        <v>51</v>
      </c>
      <c r="J22" s="11" t="s">
        <v>52</v>
      </c>
      <c r="K22" s="11" t="s">
        <v>53</v>
      </c>
      <c r="L22" s="12" t="s">
        <v>54</v>
      </c>
      <c r="M22" s="12" t="s">
        <v>20</v>
      </c>
      <c r="N22" s="12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9.2658183294657359E-2</v>
      </c>
      <c r="I23" s="5">
        <f>IF(D4=0,"",POWER($K4/D4,1/7)-1)</f>
        <v>0.13587362864377139</v>
      </c>
      <c r="J23" s="5">
        <f>IF(F4=0,"",POWER($K4/F4,1/5)-1)</f>
        <v>0.17579689984380598</v>
      </c>
      <c r="K23" s="5">
        <f>IF(H4=0,"",POWER($K4/H4, 1/3)-1)</f>
        <v>0.15212097779789735</v>
      </c>
      <c r="L23" s="5" t="str">
        <f>IF(ISERROR(MAX(IF(J4=0,"",(K4-J4)/J4),IF(K4=0,"",(L4-K4)/K4))),"",MAX(IF(J4=0,"",(K4-J4)/J4),IF(K4=0,"",(L4-K4)/K4)))</f>
        <v/>
      </c>
      <c r="M23" s="13">
        <f>MAX(K23:L23)</f>
        <v>0.15212097779789735</v>
      </c>
      <c r="N23" s="13">
        <f>MIN(H23:L23)</f>
        <v>9.2658183294657359E-2</v>
      </c>
    </row>
    <row r="24" spans="1:14" x14ac:dyDescent="0.3">
      <c r="G24" t="s">
        <v>18</v>
      </c>
      <c r="H24" s="5">
        <f>IF(SUM(B4:$K$4)=0,"",SUMPRODUCT(B19:$K$19,B4:$K$4)/SUM(B4:$K$4))</f>
        <v>0.16062313819363291</v>
      </c>
      <c r="I24" s="5">
        <f>IF(SUM(E4:$K$4)=0,"",SUMPRODUCT(E19:$K$19,E4:$K$4)/SUM(E4:$K$4))</f>
        <v>0.17201550241409058</v>
      </c>
      <c r="J24" s="5">
        <f>IF(SUM(G4:$K$4)=0,"",SUMPRODUCT(G19:$K$19,G4:$K$4)/SUM(G4:$K$4))</f>
        <v>0.17309073938324679</v>
      </c>
      <c r="K24" s="5">
        <f>IF(SUM(I4:$K$4)=0, "", SUMPRODUCT(I19:$K$19,I4:$K$4)/SUM(I4:$K$4))</f>
        <v>0.16825569109268473</v>
      </c>
      <c r="L24" s="5" t="e">
        <f>L19</f>
        <v>#REF!</v>
      </c>
      <c r="M24" s="13" t="e">
        <f>MAX(K24:L24)</f>
        <v>#REF!</v>
      </c>
      <c r="N24" s="13" t="e">
        <f>MIN(H24:L24)</f>
        <v>#REF!</v>
      </c>
    </row>
    <row r="25" spans="1:14" x14ac:dyDescent="0.3">
      <c r="G25" t="s">
        <v>23</v>
      </c>
      <c r="H25" s="6">
        <f>IF(ISERROR(AVERAGEIF(B14:$L14,"&gt;0")),"",AVERAGEIF(B14:$L14,"&gt;0"))</f>
        <v>23.529726324883651</v>
      </c>
      <c r="I25" s="6">
        <f>IF(ISERROR(AVERAGEIF(E14:$L14,"&gt;0")),"",AVERAGEIF(E14:$L14,"&gt;0"))</f>
        <v>24.680314690029206</v>
      </c>
      <c r="J25" s="6">
        <f>IF(ISERROR(AVERAGEIF(G14:$L14,"&gt;0")),"",AVERAGEIF(G14:$L14,"&gt;0"))</f>
        <v>31.11136302021017</v>
      </c>
      <c r="K25" s="6">
        <f>IF(ISERROR(AVERAGEIF(I14:$L14,"&gt;0")),"",AVERAGEIF(I14:$L14,"&gt;0"))</f>
        <v>27.501506949039698</v>
      </c>
      <c r="L25" s="6" t="e">
        <f>L14</f>
        <v>#REF!</v>
      </c>
      <c r="M25" s="1" t="e">
        <f>MAX(K25:L25)</f>
        <v>#REF!</v>
      </c>
      <c r="N25" s="1" t="e">
        <f>MIN(H25:L25)</f>
        <v>#REF!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1510-A9B2-41E6-AA52-EE30571770FE}">
  <sheetPr>
    <tabColor rgb="FF002060"/>
  </sheetPr>
  <dimension ref="A2:N10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6" sqref="C6:M6"/>
    </sheetView>
  </sheetViews>
  <sheetFormatPr defaultRowHeight="14.4" x14ac:dyDescent="0.3"/>
  <cols>
    <col min="1" max="1" width="1.88671875" customWidth="1"/>
    <col min="2" max="2" width="27.33203125" bestFit="1" customWidth="1"/>
    <col min="3" max="12" width="15.6640625" customWidth="1"/>
    <col min="13" max="13" width="12.6640625" customWidth="1"/>
  </cols>
  <sheetData>
    <row r="2" spans="1:13" x14ac:dyDescent="0.3">
      <c r="B2" s="17" t="str">
        <f>"Historical Financial Statement - "&amp; 'Data Sheet'!B1</f>
        <v>Historical Financial Statement - TATA POWER COMPANY LTD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3">
      <c r="B3" s="17" t="s">
        <v>75</v>
      </c>
      <c r="C3" s="18">
        <f>'Data Sheet'!B16</f>
        <v>42460</v>
      </c>
      <c r="D3" s="18">
        <f>'Data Sheet'!C16</f>
        <v>42825</v>
      </c>
      <c r="E3" s="18">
        <f>'Data Sheet'!D16</f>
        <v>43190</v>
      </c>
      <c r="F3" s="18">
        <f>'Data Sheet'!E16</f>
        <v>43555</v>
      </c>
      <c r="G3" s="18">
        <f>'Data Sheet'!F16</f>
        <v>43921</v>
      </c>
      <c r="H3" s="18">
        <f>'Data Sheet'!G16</f>
        <v>44286</v>
      </c>
      <c r="I3" s="18">
        <f>'Data Sheet'!H16</f>
        <v>44651</v>
      </c>
      <c r="J3" s="18">
        <f>'Data Sheet'!I16</f>
        <v>45016</v>
      </c>
      <c r="K3" s="18">
        <f>'Data Sheet'!J16</f>
        <v>45382</v>
      </c>
      <c r="L3" s="18">
        <f>'Data Sheet'!K16</f>
        <v>45747</v>
      </c>
      <c r="M3" s="21" t="s">
        <v>76</v>
      </c>
    </row>
    <row r="4" spans="1:13" x14ac:dyDescent="0.3"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</row>
    <row r="5" spans="1:13" x14ac:dyDescent="0.3">
      <c r="A5" s="19" t="s">
        <v>78</v>
      </c>
      <c r="B5" s="24" t="s">
        <v>77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x14ac:dyDescent="0.3">
      <c r="B6" t="s">
        <v>6</v>
      </c>
      <c r="C6" s="20">
        <f>IFERROR('Data Sheet'!B17,0)</f>
        <v>29494.3</v>
      </c>
      <c r="D6" s="20">
        <f>IFERROR('Data Sheet'!C17,0)</f>
        <v>27587.59</v>
      </c>
      <c r="E6" s="20">
        <f>IFERROR('Data Sheet'!D17,0)</f>
        <v>26840.27</v>
      </c>
      <c r="F6" s="20">
        <f>IFERROR('Data Sheet'!E17,0)</f>
        <v>29881.06</v>
      </c>
      <c r="G6" s="20">
        <f>IFERROR('Data Sheet'!F17,0)</f>
        <v>29136.37</v>
      </c>
      <c r="H6" s="20">
        <f>IFERROR('Data Sheet'!G17,0)</f>
        <v>32703.31</v>
      </c>
      <c r="I6" s="20">
        <f>IFERROR('Data Sheet'!H17,0)</f>
        <v>42815.67</v>
      </c>
      <c r="J6" s="20">
        <f>IFERROR('Data Sheet'!I17,0)</f>
        <v>55109.08</v>
      </c>
      <c r="K6" s="20">
        <f>IFERROR('Data Sheet'!J17,0)</f>
        <v>61448.9</v>
      </c>
      <c r="L6" s="20">
        <f>IFERROR('Data Sheet'!K17,0)</f>
        <v>65478.239999999998</v>
      </c>
      <c r="M6" s="20">
        <f>IFERROR(SUM('Data Sheet'!H42:K42),0)</f>
        <v>66066.92</v>
      </c>
    </row>
    <row r="7" spans="1:13" x14ac:dyDescent="0.3">
      <c r="B7" s="23" t="s">
        <v>22</v>
      </c>
      <c r="C7" s="22" t="s">
        <v>79</v>
      </c>
      <c r="D7" s="23">
        <f>IFERROR(D6/C6-1,0)</f>
        <v>-6.4646728350901683E-2</v>
      </c>
      <c r="E7" s="23">
        <f t="shared" ref="E7:M7" si="0">IFERROR(E6/D6-1,0)</f>
        <v>-2.7088991825672371E-2</v>
      </c>
      <c r="F7" s="23">
        <f t="shared" si="0"/>
        <v>0.1132920794015857</v>
      </c>
      <c r="G7" s="23">
        <f t="shared" si="0"/>
        <v>-2.4921806656122758E-2</v>
      </c>
      <c r="H7" s="23">
        <f t="shared" si="0"/>
        <v>0.12242225095301862</v>
      </c>
      <c r="I7" s="23">
        <f t="shared" si="0"/>
        <v>0.30921518341721366</v>
      </c>
      <c r="J7" s="23">
        <f t="shared" si="0"/>
        <v>0.28712408330875139</v>
      </c>
      <c r="K7" s="23">
        <f t="shared" si="0"/>
        <v>0.11504129628003223</v>
      </c>
      <c r="L7" s="23">
        <f t="shared" si="0"/>
        <v>6.5572207150982331E-2</v>
      </c>
      <c r="M7" s="23">
        <f t="shared" si="0"/>
        <v>8.9904676729246624E-3</v>
      </c>
    </row>
    <row r="9" spans="1:13" x14ac:dyDescent="0.3">
      <c r="B9" t="s">
        <v>80</v>
      </c>
      <c r="C9" s="20">
        <f>IFERROR(SUM('Data Sheet'!B18,'Data Sheet'!B20:B22)-1*('Data Sheet'!B19),0)</f>
        <v>21644.54</v>
      </c>
      <c r="D9" s="20">
        <f>IFERROR(SUM('Data Sheet'!C18,'Data Sheet'!C20:C22)-1*('Data Sheet'!C19),0)</f>
        <v>21013.06</v>
      </c>
      <c r="E9" s="20">
        <f>IFERROR(SUM('Data Sheet'!D18,'Data Sheet'!D20:D22)-1*('Data Sheet'!D19),0)</f>
        <v>19864.32</v>
      </c>
      <c r="F9" s="20">
        <f>IFERROR(SUM('Data Sheet'!E18,'Data Sheet'!E20:E22)-1*('Data Sheet'!E19),0)</f>
        <v>22496.969999999998</v>
      </c>
      <c r="G9" s="20">
        <f>IFERROR(SUM('Data Sheet'!F18,'Data Sheet'!F20:F22)-1*('Data Sheet'!F19),0)</f>
        <v>20639.12</v>
      </c>
      <c r="H9" s="20">
        <f>IFERROR(SUM('Data Sheet'!G18,'Data Sheet'!G20:G22)-1*('Data Sheet'!G19),0)</f>
        <v>24985.640000000003</v>
      </c>
      <c r="I9" s="20">
        <f>IFERROR(SUM('Data Sheet'!H18,'Data Sheet'!H20:H22)-1*('Data Sheet'!H19),0)</f>
        <v>34239.369999999995</v>
      </c>
      <c r="J9" s="20">
        <f>IFERROR(SUM('Data Sheet'!I18,'Data Sheet'!I20:I22)-1*('Data Sheet'!I19),0)</f>
        <v>45560.7</v>
      </c>
      <c r="K9" s="20">
        <f>IFERROR(SUM('Data Sheet'!J18,'Data Sheet'!J20:J22)-1*('Data Sheet'!J19),0)</f>
        <v>49070.77</v>
      </c>
      <c r="L9" s="20">
        <f>IFERROR(SUM('Data Sheet'!K18,'Data Sheet'!K20:K22)-1*('Data Sheet'!K19),0)</f>
        <v>49878.22</v>
      </c>
      <c r="M9" s="20">
        <f>IFERROR(SUM('Data Sheet'!L18,'Data Sheet'!L20:L22)-1*('Data Sheet'!L19),0)</f>
        <v>0</v>
      </c>
    </row>
    <row r="10" spans="1:13" x14ac:dyDescent="0.3">
      <c r="B10" s="23" t="s">
        <v>88</v>
      </c>
      <c r="C10" s="23">
        <f>C9/C6</f>
        <v>0.73385501605394943</v>
      </c>
      <c r="D10" s="23">
        <f t="shared" ref="D10:M10" si="1">D9/D6</f>
        <v>0.76168523600647975</v>
      </c>
      <c r="E10" s="23">
        <f t="shared" si="1"/>
        <v>0.74009389622384569</v>
      </c>
      <c r="F10" s="23">
        <f t="shared" si="1"/>
        <v>0.75288393383634977</v>
      </c>
      <c r="G10" s="23">
        <f t="shared" si="1"/>
        <v>0.7083627782046974</v>
      </c>
      <c r="H10" s="23">
        <f t="shared" si="1"/>
        <v>0.7640095146332283</v>
      </c>
      <c r="I10" s="23">
        <f t="shared" si="1"/>
        <v>0.7996924957614816</v>
      </c>
      <c r="J10" s="23">
        <f t="shared" si="1"/>
        <v>0.82673671924844316</v>
      </c>
      <c r="K10" s="23">
        <f t="shared" si="1"/>
        <v>0.79856221999091925</v>
      </c>
      <c r="L10" s="23">
        <f t="shared" si="1"/>
        <v>0.76175260666749756</v>
      </c>
      <c r="M10" s="23">
        <f t="shared" si="1"/>
        <v>0</v>
      </c>
    </row>
    <row r="12" spans="1:13" x14ac:dyDescent="0.3">
      <c r="B12" s="47" t="s">
        <v>81</v>
      </c>
      <c r="C12" s="48">
        <f>C6-C9</f>
        <v>7849.7599999999984</v>
      </c>
      <c r="D12" s="48">
        <f t="shared" ref="D12:M12" si="2">D6-D9</f>
        <v>6574.5299999999988</v>
      </c>
      <c r="E12" s="48">
        <f t="shared" si="2"/>
        <v>6975.9500000000007</v>
      </c>
      <c r="F12" s="48">
        <f t="shared" si="2"/>
        <v>7384.0900000000038</v>
      </c>
      <c r="G12" s="48">
        <f t="shared" si="2"/>
        <v>8497.25</v>
      </c>
      <c r="H12" s="48">
        <f t="shared" si="2"/>
        <v>7717.6699999999983</v>
      </c>
      <c r="I12" s="48">
        <f t="shared" si="2"/>
        <v>8576.3000000000029</v>
      </c>
      <c r="J12" s="48">
        <f t="shared" si="2"/>
        <v>9548.3800000000047</v>
      </c>
      <c r="K12" s="48">
        <f t="shared" si="2"/>
        <v>12378.130000000005</v>
      </c>
      <c r="L12" s="48">
        <f t="shared" si="2"/>
        <v>15600.019999999997</v>
      </c>
      <c r="M12" s="48">
        <f t="shared" si="2"/>
        <v>66066.92</v>
      </c>
    </row>
    <row r="13" spans="1:13" x14ac:dyDescent="0.3">
      <c r="B13" s="23" t="s">
        <v>90</v>
      </c>
      <c r="C13" s="23">
        <f>C12/C6</f>
        <v>0.26614498394605057</v>
      </c>
      <c r="D13" s="23">
        <f t="shared" ref="D13:M13" si="3">D12/D6</f>
        <v>0.23831476399352022</v>
      </c>
      <c r="E13" s="23">
        <f t="shared" si="3"/>
        <v>0.25990610377615431</v>
      </c>
      <c r="F13" s="23">
        <f t="shared" si="3"/>
        <v>0.24711606616365026</v>
      </c>
      <c r="G13" s="23">
        <f t="shared" si="3"/>
        <v>0.2916372217953026</v>
      </c>
      <c r="H13" s="23">
        <f t="shared" si="3"/>
        <v>0.23599048536677167</v>
      </c>
      <c r="I13" s="23">
        <f t="shared" si="3"/>
        <v>0.20030750423851837</v>
      </c>
      <c r="J13" s="23">
        <f t="shared" si="3"/>
        <v>0.17326328075155681</v>
      </c>
      <c r="K13" s="23">
        <f t="shared" si="3"/>
        <v>0.20143778000908077</v>
      </c>
      <c r="L13" s="23">
        <f t="shared" si="3"/>
        <v>0.23824739333250247</v>
      </c>
      <c r="M13" s="23">
        <f t="shared" si="3"/>
        <v>1</v>
      </c>
    </row>
    <row r="15" spans="1:13" x14ac:dyDescent="0.3">
      <c r="B15" t="s">
        <v>82</v>
      </c>
      <c r="C15" s="20">
        <f>IFERROR(SUM('Data Sheet'!B23:B24),0)</f>
        <v>5744.5300000000007</v>
      </c>
      <c r="D15" s="20">
        <f>IFERROR(SUM('Data Sheet'!C23:C24),0)</f>
        <v>1101.26</v>
      </c>
      <c r="E15" s="20">
        <f>IFERROR(SUM('Data Sheet'!D23:D24),0)</f>
        <v>4681.12</v>
      </c>
      <c r="F15" s="20">
        <f>IFERROR(SUM('Data Sheet'!E23:E24),0)</f>
        <v>4314.18</v>
      </c>
      <c r="G15" s="20">
        <f>IFERROR(SUM('Data Sheet'!F23:F24),0)</f>
        <v>1692.18</v>
      </c>
      <c r="H15" s="20">
        <f>IFERROR(SUM('Data Sheet'!G23:G24),0)</f>
        <v>796.77</v>
      </c>
      <c r="I15" s="20">
        <f>IFERROR(SUM('Data Sheet'!H23:H24),0)</f>
        <v>1545.41</v>
      </c>
      <c r="J15" s="20">
        <f>IFERROR(SUM('Data Sheet'!I23:I24),0)</f>
        <v>1820.62</v>
      </c>
      <c r="K15" s="20">
        <f>IFERROR(SUM('Data Sheet'!J23:J24),0)</f>
        <v>1642.85</v>
      </c>
      <c r="L15" s="20">
        <f>IFERROR(SUM('Data Sheet'!K23:K24),0)</f>
        <v>3434.4300000000003</v>
      </c>
    </row>
    <row r="16" spans="1:13" x14ac:dyDescent="0.3">
      <c r="B16" s="23" t="s">
        <v>84</v>
      </c>
      <c r="C16" s="23">
        <f>C15/C6</f>
        <v>0.19476746354380339</v>
      </c>
      <c r="D16" s="23">
        <f t="shared" ref="D16:M16" si="4">D15/D6</f>
        <v>3.9918673577503505E-2</v>
      </c>
      <c r="E16" s="23">
        <f t="shared" si="4"/>
        <v>0.17440659128987898</v>
      </c>
      <c r="F16" s="23">
        <f t="shared" si="4"/>
        <v>0.144378412278547</v>
      </c>
      <c r="G16" s="23">
        <f t="shared" si="4"/>
        <v>5.8077928032901835E-2</v>
      </c>
      <c r="H16" s="23">
        <f t="shared" si="4"/>
        <v>2.4363588884427904E-2</v>
      </c>
      <c r="I16" s="23">
        <f t="shared" si="4"/>
        <v>3.6094495309777944E-2</v>
      </c>
      <c r="J16" s="23">
        <f t="shared" si="4"/>
        <v>3.303666110920378E-2</v>
      </c>
      <c r="K16" s="23">
        <f t="shared" si="4"/>
        <v>2.673522227411719E-2</v>
      </c>
      <c r="L16" s="23">
        <f t="shared" si="4"/>
        <v>5.2451470900867228E-2</v>
      </c>
      <c r="M16" s="23">
        <f t="shared" si="4"/>
        <v>0</v>
      </c>
    </row>
    <row r="17" spans="2:13" x14ac:dyDescent="0.3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2:13" x14ac:dyDescent="0.3">
      <c r="B18" s="47" t="s">
        <v>83</v>
      </c>
      <c r="C18" s="48">
        <f t="shared" ref="C18:L18" si="5">C12-C15</f>
        <v>2105.2299999999977</v>
      </c>
      <c r="D18" s="48">
        <f t="shared" si="5"/>
        <v>5473.2699999999986</v>
      </c>
      <c r="E18" s="48">
        <f t="shared" si="5"/>
        <v>2294.8300000000008</v>
      </c>
      <c r="F18" s="48">
        <f t="shared" si="5"/>
        <v>3069.9100000000035</v>
      </c>
      <c r="G18" s="48">
        <f t="shared" si="5"/>
        <v>6805.07</v>
      </c>
      <c r="H18" s="48">
        <f t="shared" si="5"/>
        <v>6920.8999999999978</v>
      </c>
      <c r="I18" s="48">
        <f t="shared" si="5"/>
        <v>7030.8900000000031</v>
      </c>
      <c r="J18" s="48">
        <f t="shared" si="5"/>
        <v>7727.7600000000048</v>
      </c>
      <c r="K18" s="48">
        <f t="shared" si="5"/>
        <v>10735.280000000004</v>
      </c>
      <c r="L18" s="48">
        <f t="shared" si="5"/>
        <v>12165.589999999997</v>
      </c>
      <c r="M18" s="48">
        <f>IFERROR(SUM('Data Sheet'!H45:K47),0)</f>
        <v>15816.950000000003</v>
      </c>
    </row>
    <row r="19" spans="2:13" x14ac:dyDescent="0.3">
      <c r="B19" s="23" t="s">
        <v>85</v>
      </c>
      <c r="C19" s="23">
        <f>C18/C6</f>
        <v>7.1377520402247138E-2</v>
      </c>
      <c r="D19" s="23">
        <f t="shared" ref="D19:M19" si="6">D18/D6</f>
        <v>0.19839609041601672</v>
      </c>
      <c r="E19" s="23">
        <f t="shared" si="6"/>
        <v>8.5499512486275311E-2</v>
      </c>
      <c r="F19" s="23">
        <f t="shared" si="6"/>
        <v>0.10273765388510325</v>
      </c>
      <c r="G19" s="23">
        <f t="shared" si="6"/>
        <v>0.23355929376240073</v>
      </c>
      <c r="H19" s="23">
        <f t="shared" si="6"/>
        <v>0.21162689648234376</v>
      </c>
      <c r="I19" s="23">
        <f t="shared" si="6"/>
        <v>0.16421300892874041</v>
      </c>
      <c r="J19" s="23">
        <f t="shared" si="6"/>
        <v>0.14022661964235303</v>
      </c>
      <c r="K19" s="23">
        <f t="shared" si="6"/>
        <v>0.1747025577349636</v>
      </c>
      <c r="L19" s="23">
        <f t="shared" si="6"/>
        <v>0.18579592243163526</v>
      </c>
      <c r="M19" s="23">
        <f t="shared" si="6"/>
        <v>0.23940801236080028</v>
      </c>
    </row>
    <row r="21" spans="2:13" x14ac:dyDescent="0.3">
      <c r="B21" t="s">
        <v>11</v>
      </c>
      <c r="C21" s="20">
        <f>IFERROR('Data Sheet'!B27,0)</f>
        <v>3235.81</v>
      </c>
      <c r="D21" s="20">
        <f>IFERROR('Data Sheet'!C27,0)</f>
        <v>3364.96</v>
      </c>
      <c r="E21" s="20">
        <f>IFERROR('Data Sheet'!D27,0)</f>
        <v>3761.48</v>
      </c>
      <c r="F21" s="20">
        <f>IFERROR('Data Sheet'!E27,0)</f>
        <v>4170</v>
      </c>
      <c r="G21" s="20">
        <f>IFERROR('Data Sheet'!F27,0)</f>
        <v>4493.7299999999996</v>
      </c>
      <c r="H21" s="20">
        <f>IFERROR('Data Sheet'!G27,0)</f>
        <v>4010.39</v>
      </c>
      <c r="I21" s="20">
        <f>IFERROR('Data Sheet'!H27,0)</f>
        <v>3859.02</v>
      </c>
      <c r="J21" s="20">
        <f>IFERROR('Data Sheet'!I27,0)</f>
        <v>4371.6499999999996</v>
      </c>
      <c r="K21" s="20">
        <f>IFERROR('Data Sheet'!J27,0)</f>
        <v>4633.22</v>
      </c>
      <c r="L21" s="20">
        <f>IFERROR('Data Sheet'!K27,0)</f>
        <v>4702.4399999999996</v>
      </c>
      <c r="M21" s="20">
        <f>IFERROR(SUM('Data Sheet'!H46:K46),0)</f>
        <v>4980.9799999999996</v>
      </c>
    </row>
    <row r="22" spans="2:13" x14ac:dyDescent="0.3">
      <c r="B22" s="23" t="s">
        <v>87</v>
      </c>
      <c r="C22" s="23">
        <f>C21/C6</f>
        <v>0.10970967271642318</v>
      </c>
      <c r="D22" s="23">
        <f t="shared" ref="D22:M22" si="7">D21/D6</f>
        <v>0.12197368454439116</v>
      </c>
      <c r="E22" s="23">
        <f t="shared" si="7"/>
        <v>0.14014315057188323</v>
      </c>
      <c r="F22" s="23">
        <f t="shared" si="7"/>
        <v>0.139553282246346</v>
      </c>
      <c r="G22" s="23">
        <f t="shared" si="7"/>
        <v>0.15423094915392685</v>
      </c>
      <c r="H22" s="23">
        <f t="shared" si="7"/>
        <v>0.12262948307067388</v>
      </c>
      <c r="I22" s="23">
        <f t="shared" si="7"/>
        <v>9.013101978784871E-2</v>
      </c>
      <c r="J22" s="23">
        <f t="shared" si="7"/>
        <v>7.9327217946661407E-2</v>
      </c>
      <c r="K22" s="23">
        <f t="shared" si="7"/>
        <v>7.5399559634102484E-2</v>
      </c>
      <c r="L22" s="23">
        <f t="shared" si="7"/>
        <v>7.1816835638832066E-2</v>
      </c>
      <c r="M22" s="23">
        <f t="shared" si="7"/>
        <v>7.5392950057305522E-2</v>
      </c>
    </row>
    <row r="24" spans="2:13" x14ac:dyDescent="0.3">
      <c r="B24" t="s">
        <v>10</v>
      </c>
      <c r="C24" s="20">
        <f>IFERROR('Data Sheet'!B26,0)</f>
        <v>1648.73</v>
      </c>
      <c r="D24" s="20">
        <f>IFERROR('Data Sheet'!C26,0)</f>
        <v>1955.59</v>
      </c>
      <c r="E24" s="20">
        <f>IFERROR('Data Sheet'!D26,0)</f>
        <v>2346.17</v>
      </c>
      <c r="F24" s="20">
        <f>IFERROR('Data Sheet'!E26,0)</f>
        <v>2393.13</v>
      </c>
      <c r="G24" s="20">
        <f>IFERROR('Data Sheet'!F26,0)</f>
        <v>2633.56</v>
      </c>
      <c r="H24" s="20">
        <f>IFERROR('Data Sheet'!G26,0)</f>
        <v>2744.94</v>
      </c>
      <c r="I24" s="20">
        <f>IFERROR('Data Sheet'!H26,0)</f>
        <v>3122.2</v>
      </c>
      <c r="J24" s="20">
        <f>IFERROR('Data Sheet'!I26,0)</f>
        <v>3439.2</v>
      </c>
      <c r="K24" s="20">
        <f>IFERROR('Data Sheet'!J26,0)</f>
        <v>3786.37</v>
      </c>
      <c r="L24" s="20">
        <f>IFERROR('Data Sheet'!K26,0)</f>
        <v>4116.8599999999997</v>
      </c>
      <c r="M24" s="20">
        <f>IFERROR(SUM('Data Sheet'!H45:K45),0)</f>
        <v>4480.2300000000005</v>
      </c>
    </row>
    <row r="25" spans="2:13" x14ac:dyDescent="0.3">
      <c r="B25" s="23" t="s">
        <v>89</v>
      </c>
      <c r="C25" s="23">
        <f>C24/C6</f>
        <v>5.589995355034702E-2</v>
      </c>
      <c r="D25" s="23">
        <f t="shared" ref="D25:M25" si="8">D24/D6</f>
        <v>7.088658342392358E-2</v>
      </c>
      <c r="E25" s="23">
        <f t="shared" si="8"/>
        <v>8.7412309935779337E-2</v>
      </c>
      <c r="F25" s="23">
        <f t="shared" si="8"/>
        <v>8.0088524302685385E-2</v>
      </c>
      <c r="G25" s="23">
        <f t="shared" si="8"/>
        <v>9.0387374954395486E-2</v>
      </c>
      <c r="H25" s="23">
        <f t="shared" si="8"/>
        <v>8.3934623131420028E-2</v>
      </c>
      <c r="I25" s="23">
        <f t="shared" si="8"/>
        <v>7.2921899855823813E-2</v>
      </c>
      <c r="J25" s="23">
        <f t="shared" si="8"/>
        <v>6.2407138714709078E-2</v>
      </c>
      <c r="K25" s="23">
        <f t="shared" si="8"/>
        <v>6.1618190073378036E-2</v>
      </c>
      <c r="L25" s="23">
        <f t="shared" si="8"/>
        <v>6.2873711938500484E-2</v>
      </c>
      <c r="M25" s="23">
        <f t="shared" si="8"/>
        <v>6.7813513934053535E-2</v>
      </c>
    </row>
    <row r="26" spans="2:13" x14ac:dyDescent="0.3">
      <c r="B26" t="s">
        <v>86</v>
      </c>
    </row>
    <row r="27" spans="2:13" x14ac:dyDescent="0.3">
      <c r="B27" s="47" t="s">
        <v>91</v>
      </c>
      <c r="C27" s="48">
        <f>IFERROR(C18-SUM(C24,C21),0)</f>
        <v>-2779.3100000000022</v>
      </c>
      <c r="D27" s="48">
        <f t="shared" ref="D27:M27" si="9">IFERROR(D18-SUM(D24,D21),0)</f>
        <v>152.71999999999844</v>
      </c>
      <c r="E27" s="48">
        <f t="shared" si="9"/>
        <v>-3812.8199999999988</v>
      </c>
      <c r="F27" s="48">
        <f t="shared" si="9"/>
        <v>-3493.2199999999966</v>
      </c>
      <c r="G27" s="48">
        <f t="shared" si="9"/>
        <v>-322.21999999999935</v>
      </c>
      <c r="H27" s="48">
        <f t="shared" si="9"/>
        <v>165.56999999999789</v>
      </c>
      <c r="I27" s="48">
        <f t="shared" si="9"/>
        <v>49.670000000003711</v>
      </c>
      <c r="J27" s="48">
        <f t="shared" si="9"/>
        <v>-83.089999999994689</v>
      </c>
      <c r="K27" s="48">
        <f t="shared" si="9"/>
        <v>2315.6900000000041</v>
      </c>
      <c r="L27" s="48">
        <f t="shared" si="9"/>
        <v>3346.2899999999972</v>
      </c>
      <c r="M27" s="48">
        <f t="shared" si="9"/>
        <v>6355.7400000000034</v>
      </c>
    </row>
    <row r="28" spans="2:13" x14ac:dyDescent="0.3">
      <c r="B28" s="23" t="s">
        <v>92</v>
      </c>
      <c r="C28" s="23">
        <f>C27/C6</f>
        <v>-9.4232105864523047E-2</v>
      </c>
      <c r="D28" s="23">
        <f t="shared" ref="D28:M28" si="10">D27/D6</f>
        <v>5.535822447701972E-3</v>
      </c>
      <c r="E28" s="23">
        <f t="shared" si="10"/>
        <v>-0.14205594802138721</v>
      </c>
      <c r="F28" s="23">
        <f t="shared" si="10"/>
        <v>-0.11690415266392813</v>
      </c>
      <c r="G28" s="23">
        <f t="shared" si="10"/>
        <v>-1.1059030345921587E-2</v>
      </c>
      <c r="H28" s="23">
        <f t="shared" si="10"/>
        <v>5.0627902802498547E-3</v>
      </c>
      <c r="I28" s="23">
        <f t="shared" si="10"/>
        <v>1.1600892850679135E-3</v>
      </c>
      <c r="J28" s="23">
        <f t="shared" si="10"/>
        <v>-1.5077370190174594E-3</v>
      </c>
      <c r="K28" s="23">
        <f t="shared" si="10"/>
        <v>3.7684808027483065E-2</v>
      </c>
      <c r="L28" s="23">
        <f t="shared" si="10"/>
        <v>5.11053748543027E-2</v>
      </c>
      <c r="M28" s="23">
        <f t="shared" si="10"/>
        <v>9.6201548369441225E-2</v>
      </c>
    </row>
    <row r="30" spans="2:13" x14ac:dyDescent="0.3">
      <c r="B30" t="s">
        <v>13</v>
      </c>
      <c r="C30" s="20">
        <f>IFERROR('Data Sheet'!B29,0)</f>
        <v>680.31</v>
      </c>
      <c r="D30" s="20">
        <f>IFERROR('Data Sheet'!C29,0)</f>
        <v>350.46</v>
      </c>
      <c r="E30" s="20">
        <f>IFERROR('Data Sheet'!D29,0)</f>
        <v>161.97</v>
      </c>
      <c r="F30" s="20">
        <f>IFERROR('Data Sheet'!E29,0)</f>
        <v>1087.5899999999999</v>
      </c>
      <c r="G30" s="20">
        <f>IFERROR('Data Sheet'!F29,0)</f>
        <v>641.49</v>
      </c>
      <c r="H30" s="20">
        <f>IFERROR('Data Sheet'!G29,0)</f>
        <v>501.88</v>
      </c>
      <c r="I30" s="20">
        <f>IFERROR('Data Sheet'!H29,0)</f>
        <v>379.56</v>
      </c>
      <c r="J30" s="20">
        <f>IFERROR('Data Sheet'!I29,0)</f>
        <v>1647.33</v>
      </c>
      <c r="K30" s="20">
        <f>IFERROR('Data Sheet'!J29,0)</f>
        <v>1451.92</v>
      </c>
      <c r="L30" s="20">
        <f>IFERROR('Data Sheet'!K29,0)</f>
        <v>1544.25</v>
      </c>
      <c r="M30" s="20">
        <f>IFERROR(SUM('Data Sheet'!H48:K48),0)</f>
        <v>1354.4</v>
      </c>
    </row>
    <row r="31" spans="2:13" x14ac:dyDescent="0.3">
      <c r="B31" s="23" t="s">
        <v>93</v>
      </c>
      <c r="C31" s="23">
        <f>C30/C27</f>
        <v>-0.24477658123778903</v>
      </c>
      <c r="D31" s="23">
        <f t="shared" ref="D31:M31" si="11">D30/D27</f>
        <v>2.2947878470403587</v>
      </c>
      <c r="E31" s="23">
        <f t="shared" si="11"/>
        <v>-4.2480368860843165E-2</v>
      </c>
      <c r="F31" s="23">
        <f t="shared" si="11"/>
        <v>-0.31134311609346133</v>
      </c>
      <c r="G31" s="23">
        <f t="shared" si="11"/>
        <v>-1.9908447644466554</v>
      </c>
      <c r="H31" s="23">
        <f t="shared" si="11"/>
        <v>3.0312254635501987</v>
      </c>
      <c r="I31" s="23">
        <f t="shared" si="11"/>
        <v>7.6416347896108645</v>
      </c>
      <c r="J31" s="23">
        <f t="shared" si="11"/>
        <v>-19.825851486341378</v>
      </c>
      <c r="K31" s="23">
        <f t="shared" si="11"/>
        <v>0.62699238671842838</v>
      </c>
      <c r="L31" s="23">
        <f t="shared" si="11"/>
        <v>0.46148122248818879</v>
      </c>
      <c r="M31" s="23">
        <f t="shared" si="11"/>
        <v>0.2130987107716803</v>
      </c>
    </row>
    <row r="33" spans="1:13" x14ac:dyDescent="0.3">
      <c r="B33" s="47" t="s">
        <v>94</v>
      </c>
      <c r="C33" s="48">
        <f>IFERROR(C27-C30,0)</f>
        <v>-3459.6200000000022</v>
      </c>
      <c r="D33" s="48">
        <f t="shared" ref="D33:M33" si="12">IFERROR(D27-D30,0)</f>
        <v>-197.74000000000154</v>
      </c>
      <c r="E33" s="48">
        <f t="shared" si="12"/>
        <v>-3974.7899999999986</v>
      </c>
      <c r="F33" s="48">
        <f t="shared" si="12"/>
        <v>-4580.8099999999968</v>
      </c>
      <c r="G33" s="48">
        <f t="shared" si="12"/>
        <v>-963.70999999999935</v>
      </c>
      <c r="H33" s="48">
        <f t="shared" si="12"/>
        <v>-336.31000000000211</v>
      </c>
      <c r="I33" s="48">
        <f t="shared" si="12"/>
        <v>-329.88999999999629</v>
      </c>
      <c r="J33" s="48">
        <f t="shared" si="12"/>
        <v>-1730.4199999999946</v>
      </c>
      <c r="K33" s="48">
        <f t="shared" si="12"/>
        <v>863.77000000000407</v>
      </c>
      <c r="L33" s="48">
        <f t="shared" si="12"/>
        <v>1802.0399999999972</v>
      </c>
      <c r="M33" s="48">
        <f t="shared" si="12"/>
        <v>5001.3400000000038</v>
      </c>
    </row>
    <row r="34" spans="1:13" x14ac:dyDescent="0.3">
      <c r="B34" s="23" t="s">
        <v>95</v>
      </c>
      <c r="C34" s="23">
        <f>C33/C6</f>
        <v>-0.11729791858087842</v>
      </c>
      <c r="D34" s="23">
        <f t="shared" ref="D34:M34" si="13">D33/D6</f>
        <v>-7.1677156286577238E-3</v>
      </c>
      <c r="E34" s="23">
        <f t="shared" si="13"/>
        <v>-0.14809053709221251</v>
      </c>
      <c r="F34" s="23">
        <f t="shared" si="13"/>
        <v>-0.15330145583858124</v>
      </c>
      <c r="G34" s="23">
        <f t="shared" si="13"/>
        <v>-3.3075843009956266E-2</v>
      </c>
      <c r="H34" s="23">
        <f t="shared" si="13"/>
        <v>-1.0283668533857952E-2</v>
      </c>
      <c r="I34" s="23">
        <f t="shared" si="13"/>
        <v>-7.7048893547618505E-3</v>
      </c>
      <c r="J34" s="23">
        <f t="shared" si="13"/>
        <v>-3.1399907238516676E-2</v>
      </c>
      <c r="K34" s="23">
        <f t="shared" si="13"/>
        <v>1.4056720299305667E-2</v>
      </c>
      <c r="L34" s="23">
        <f t="shared" si="13"/>
        <v>2.7521203990821946E-2</v>
      </c>
      <c r="M34" s="23">
        <f t="shared" si="13"/>
        <v>7.5701122437673865E-2</v>
      </c>
    </row>
    <row r="36" spans="1:13" x14ac:dyDescent="0.3">
      <c r="B36" t="s">
        <v>97</v>
      </c>
      <c r="C36">
        <f>IFERROR('Data Sheet'!B93,0)</f>
        <v>270.45999999999998</v>
      </c>
      <c r="D36">
        <f>IFERROR('Data Sheet'!C93,0)</f>
        <v>270.48</v>
      </c>
      <c r="E36">
        <f>IFERROR('Data Sheet'!D93,0)</f>
        <v>270.48</v>
      </c>
      <c r="F36">
        <f>IFERROR('Data Sheet'!E93,0)</f>
        <v>270.48</v>
      </c>
      <c r="G36">
        <f>IFERROR('Data Sheet'!F93,0)</f>
        <v>270.48</v>
      </c>
      <c r="H36">
        <f>IFERROR('Data Sheet'!G93,0)</f>
        <v>319.52999999999997</v>
      </c>
      <c r="I36">
        <f>IFERROR('Data Sheet'!H93,0)</f>
        <v>319.52999999999997</v>
      </c>
      <c r="J36">
        <f>IFERROR('Data Sheet'!I93,0)</f>
        <v>319.52999999999997</v>
      </c>
      <c r="K36">
        <f>IFERROR('Data Sheet'!J93,0)</f>
        <v>319.52999999999997</v>
      </c>
      <c r="L36">
        <f>IFERROR('Data Sheet'!K93,0)</f>
        <v>319.52999999999997</v>
      </c>
      <c r="M36">
        <f>IFERROR('Data Sheet'!L93,0)</f>
        <v>0</v>
      </c>
    </row>
    <row r="37" spans="1:13" x14ac:dyDescent="0.3">
      <c r="B37" t="s">
        <v>86</v>
      </c>
    </row>
    <row r="38" spans="1:13" x14ac:dyDescent="0.3">
      <c r="B38" t="s">
        <v>98</v>
      </c>
      <c r="C38" s="20">
        <f>IFERROR(C33/C36,0)</f>
        <v>-12.791614286770695</v>
      </c>
      <c r="D38" s="20">
        <f t="shared" ref="D38:M38" si="14">IFERROR(D33/D36,0)</f>
        <v>-0.73107068914522899</v>
      </c>
      <c r="E38" s="20">
        <f t="shared" si="14"/>
        <v>-14.695319432120668</v>
      </c>
      <c r="F38" s="20">
        <f t="shared" si="14"/>
        <v>-16.935854776693272</v>
      </c>
      <c r="G38" s="20">
        <f t="shared" si="14"/>
        <v>-3.5629621413782879</v>
      </c>
      <c r="H38" s="20">
        <f t="shared" si="14"/>
        <v>-1.0525146308640883</v>
      </c>
      <c r="I38" s="20">
        <f t="shared" si="14"/>
        <v>-1.0324226207241771</v>
      </c>
      <c r="J38" s="20">
        <f t="shared" si="14"/>
        <v>-5.4155165399179879</v>
      </c>
      <c r="K38" s="20">
        <f t="shared" si="14"/>
        <v>2.7032516508622169</v>
      </c>
      <c r="L38" s="20">
        <f t="shared" si="14"/>
        <v>5.639658248051818</v>
      </c>
      <c r="M38" s="20">
        <f t="shared" si="14"/>
        <v>0</v>
      </c>
    </row>
    <row r="39" spans="1:13" x14ac:dyDescent="0.3">
      <c r="B39" s="23" t="s">
        <v>99</v>
      </c>
      <c r="C39" s="23"/>
      <c r="D39" s="23">
        <f>IFERROR(D38/C38-1,0)</f>
        <v>-0.9428476599782003</v>
      </c>
      <c r="E39" s="23">
        <f t="shared" ref="E39:M39" si="15">IFERROR(E38/D38-1,0)</f>
        <v>19.101092343481174</v>
      </c>
      <c r="F39" s="23">
        <f t="shared" si="15"/>
        <v>0.15246591643835239</v>
      </c>
      <c r="G39" s="23">
        <f t="shared" si="15"/>
        <v>-0.78962017634435833</v>
      </c>
      <c r="H39" s="23">
        <f t="shared" si="15"/>
        <v>-0.7045956176068332</v>
      </c>
      <c r="I39" s="23">
        <f t="shared" si="15"/>
        <v>-1.9089530492717333E-2</v>
      </c>
      <c r="J39" s="23">
        <f t="shared" si="15"/>
        <v>4.2454454515141835</v>
      </c>
      <c r="K39" s="23">
        <f t="shared" si="15"/>
        <v>-1.4991678320870117</v>
      </c>
      <c r="L39" s="23">
        <f t="shared" si="15"/>
        <v>1.0862498118712027</v>
      </c>
      <c r="M39" s="23">
        <f t="shared" si="15"/>
        <v>-1</v>
      </c>
    </row>
    <row r="41" spans="1:13" x14ac:dyDescent="0.3">
      <c r="B41" t="s">
        <v>96</v>
      </c>
      <c r="C41" s="20">
        <f>IFERROR('Data Sheet'!B31/HistoricalFS!C36,0)</f>
        <v>1.3000813428972862</v>
      </c>
      <c r="D41" s="20">
        <f>IFERROR('Data Sheet'!C31/HistoricalFS!D36,0)</f>
        <v>1.3000961254066843</v>
      </c>
      <c r="E41" s="20">
        <f>IFERROR('Data Sheet'!D31/HistoricalFS!E36,0)</f>
        <v>1.3000961254066843</v>
      </c>
      <c r="F41" s="20">
        <f>IFERROR('Data Sheet'!E31/HistoricalFS!F36,0)</f>
        <v>1.3000961254066843</v>
      </c>
      <c r="G41" s="20">
        <f>IFERROR('Data Sheet'!F31/HistoricalFS!G36,0)</f>
        <v>1.5501330967169475</v>
      </c>
      <c r="H41" s="20">
        <f>IFERROR('Data Sheet'!G31/HistoricalFS!H36,0)</f>
        <v>1.5501517854348577</v>
      </c>
      <c r="I41" s="20">
        <f>IFERROR('Data Sheet'!H31/HistoricalFS!I36,0)</f>
        <v>1.7501643038212376</v>
      </c>
      <c r="J41" s="20">
        <f>IFERROR('Data Sheet'!I31/HistoricalFS!J36,0)</f>
        <v>2.0001877757957001</v>
      </c>
      <c r="K41" s="20">
        <f>IFERROR('Data Sheet'!J31/HistoricalFS!K36,0)</f>
        <v>2.0001877757957001</v>
      </c>
      <c r="L41" s="20">
        <f>IFERROR('Data Sheet'!K31/HistoricalFS!L36,0)</f>
        <v>2.5002347197446251</v>
      </c>
      <c r="M41" s="20">
        <f>IFERROR('Data Sheet'!L31/HistoricalFS!M36,0)</f>
        <v>0</v>
      </c>
    </row>
    <row r="42" spans="1:13" x14ac:dyDescent="0.3">
      <c r="B42" s="23" t="s">
        <v>100</v>
      </c>
      <c r="C42" s="23">
        <f>IFERROR(C41/C38,0)</f>
        <v>-0.10163543973037495</v>
      </c>
      <c r="D42" s="23">
        <f t="shared" ref="D42:M42" si="16">IFERROR(D41/D38,0)</f>
        <v>-1.7783453019115871</v>
      </c>
      <c r="E42" s="23">
        <f t="shared" si="16"/>
        <v>-8.8470082696192789E-2</v>
      </c>
      <c r="F42" s="23">
        <f t="shared" si="16"/>
        <v>-7.6765899480659594E-2</v>
      </c>
      <c r="G42" s="23">
        <f t="shared" si="16"/>
        <v>-0.43506864098120834</v>
      </c>
      <c r="H42" s="23">
        <f t="shared" si="16"/>
        <v>-1.4728078261128035</v>
      </c>
      <c r="I42" s="23">
        <f t="shared" si="16"/>
        <v>-1.6952014307799761</v>
      </c>
      <c r="J42" s="23">
        <f t="shared" si="16"/>
        <v>-0.36934385871638215</v>
      </c>
      <c r="K42" s="23">
        <f t="shared" si="16"/>
        <v>0.73991919145142448</v>
      </c>
      <c r="L42" s="23">
        <f t="shared" si="16"/>
        <v>0.44333089165612372</v>
      </c>
      <c r="M42" s="23">
        <f t="shared" si="16"/>
        <v>0</v>
      </c>
    </row>
    <row r="44" spans="1:13" x14ac:dyDescent="0.3">
      <c r="B44" t="s">
        <v>101</v>
      </c>
      <c r="C44" s="29">
        <f>IFERROR(IF(C38&gt;C41,1-C42,0),0)</f>
        <v>0</v>
      </c>
      <c r="D44" s="29">
        <f t="shared" ref="D44:M44" si="17">IFERROR(IF(D38&gt;D41,1-D42,0),0)</f>
        <v>0</v>
      </c>
      <c r="E44" s="29">
        <f t="shared" si="17"/>
        <v>0</v>
      </c>
      <c r="F44" s="29">
        <f t="shared" si="17"/>
        <v>0</v>
      </c>
      <c r="G44" s="29">
        <f t="shared" si="17"/>
        <v>0</v>
      </c>
      <c r="H44" s="29">
        <f t="shared" si="17"/>
        <v>0</v>
      </c>
      <c r="I44" s="29">
        <f t="shared" si="17"/>
        <v>0</v>
      </c>
      <c r="J44" s="29">
        <f t="shared" si="17"/>
        <v>0</v>
      </c>
      <c r="K44" s="29">
        <f t="shared" si="17"/>
        <v>0.26008080854857552</v>
      </c>
      <c r="L44" s="29">
        <f t="shared" si="17"/>
        <v>0.55666910834387628</v>
      </c>
      <c r="M44" s="29">
        <f t="shared" si="17"/>
        <v>0</v>
      </c>
    </row>
    <row r="46" spans="1:13" x14ac:dyDescent="0.3">
      <c r="A46" t="s">
        <v>78</v>
      </c>
      <c r="B46" s="24" t="s">
        <v>102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x14ac:dyDescent="0.3">
      <c r="B47" t="s">
        <v>24</v>
      </c>
      <c r="C47" s="20">
        <f>IFERROR('Data Sheet'!B57,0)</f>
        <v>270.48</v>
      </c>
      <c r="D47" s="20">
        <f>IFERROR('Data Sheet'!C57,0)</f>
        <v>270.5</v>
      </c>
      <c r="E47" s="20">
        <f>IFERROR('Data Sheet'!D57,0)</f>
        <v>270.5</v>
      </c>
      <c r="F47" s="20">
        <f>IFERROR('Data Sheet'!E57,0)</f>
        <v>270.5</v>
      </c>
      <c r="G47" s="20">
        <f>IFERROR('Data Sheet'!F57,0)</f>
        <v>270.5</v>
      </c>
      <c r="H47" s="20">
        <f>IFERROR('Data Sheet'!G57,0)</f>
        <v>319.56</v>
      </c>
      <c r="I47" s="20">
        <f>IFERROR('Data Sheet'!H57,0)</f>
        <v>319.56</v>
      </c>
      <c r="J47" s="20">
        <f>IFERROR('Data Sheet'!I57,0)</f>
        <v>319.56</v>
      </c>
      <c r="K47" s="20">
        <f>IFERROR('Data Sheet'!J57,0)</f>
        <v>319.56</v>
      </c>
      <c r="L47" s="20">
        <f>IFERROR('Data Sheet'!K57,0)</f>
        <v>319.56</v>
      </c>
    </row>
    <row r="48" spans="1:13" x14ac:dyDescent="0.3">
      <c r="B48" t="s">
        <v>25</v>
      </c>
      <c r="C48" s="20">
        <f>IFERROR('Data Sheet'!B58,0)</f>
        <v>11362.9</v>
      </c>
      <c r="D48" s="20">
        <f>IFERROR('Data Sheet'!C58,0)</f>
        <v>12944.05</v>
      </c>
      <c r="E48" s="20">
        <f>IFERROR('Data Sheet'!D58,0)</f>
        <v>16129.38</v>
      </c>
      <c r="F48" s="20">
        <f>IFERROR('Data Sheet'!E58,0)</f>
        <v>18035.009999999998</v>
      </c>
      <c r="G48" s="20">
        <f>IFERROR('Data Sheet'!F58,0)</f>
        <v>19295.52</v>
      </c>
      <c r="H48" s="20">
        <f>IFERROR('Data Sheet'!G58,0)</f>
        <v>22002.7</v>
      </c>
      <c r="I48" s="20">
        <f>IFERROR('Data Sheet'!H58,0)</f>
        <v>22122</v>
      </c>
      <c r="J48" s="20">
        <f>IFERROR('Data Sheet'!I58,0)</f>
        <v>28467.87</v>
      </c>
      <c r="K48" s="20">
        <f>IFERROR('Data Sheet'!J58,0)</f>
        <v>32035.73</v>
      </c>
      <c r="L48" s="20">
        <f>IFERROR('Data Sheet'!K58,0)</f>
        <v>35521.11</v>
      </c>
    </row>
    <row r="49" spans="2:12" x14ac:dyDescent="0.3">
      <c r="B49" t="s">
        <v>56</v>
      </c>
      <c r="C49" s="20">
        <f>IFERROR('Data Sheet'!B59,0)</f>
        <v>38848.589999999997</v>
      </c>
      <c r="D49" s="20">
        <f>IFERROR('Data Sheet'!C59,0)</f>
        <v>48815.41</v>
      </c>
      <c r="E49" s="20">
        <f>IFERROR('Data Sheet'!D59,0)</f>
        <v>48589.24</v>
      </c>
      <c r="F49" s="20">
        <f>IFERROR('Data Sheet'!E59,0)</f>
        <v>48506.04</v>
      </c>
      <c r="G49" s="20">
        <f>IFERROR('Data Sheet'!F59,0)</f>
        <v>51936.15</v>
      </c>
      <c r="H49" s="20">
        <f>IFERROR('Data Sheet'!G59,0)</f>
        <v>46707.95</v>
      </c>
      <c r="I49" s="20">
        <f>IFERROR('Data Sheet'!H59,0)</f>
        <v>51195.12</v>
      </c>
      <c r="J49" s="20">
        <f>IFERROR('Data Sheet'!I59,0)</f>
        <v>52923</v>
      </c>
      <c r="K49" s="20">
        <f>IFERROR('Data Sheet'!J59,0)</f>
        <v>53689.45</v>
      </c>
      <c r="L49" s="20">
        <f>IFERROR('Data Sheet'!K59,0)</f>
        <v>62865.8</v>
      </c>
    </row>
    <row r="50" spans="2:12" x14ac:dyDescent="0.3">
      <c r="B50" t="s">
        <v>57</v>
      </c>
      <c r="C50" s="20">
        <f>IFERROR('Data Sheet'!B60,0)</f>
        <v>19574.54</v>
      </c>
      <c r="D50" s="20">
        <f>IFERROR('Data Sheet'!C60,0)</f>
        <v>20799.3</v>
      </c>
      <c r="E50" s="20">
        <f>IFERROR('Data Sheet'!D60,0)</f>
        <v>16902.68</v>
      </c>
      <c r="F50" s="20">
        <f>IFERROR('Data Sheet'!E60,0)</f>
        <v>17261.89</v>
      </c>
      <c r="G50" s="20">
        <f>IFERROR('Data Sheet'!F60,0)</f>
        <v>18171.740000000002</v>
      </c>
      <c r="H50" s="20">
        <f>IFERROR('Data Sheet'!G60,0)</f>
        <v>29624.63</v>
      </c>
      <c r="I50" s="20">
        <f>IFERROR('Data Sheet'!H60,0)</f>
        <v>38913.31</v>
      </c>
      <c r="J50" s="20">
        <f>IFERROR('Data Sheet'!I60,0)</f>
        <v>46385.71</v>
      </c>
      <c r="K50" s="20">
        <f>IFERROR('Data Sheet'!J60,0)</f>
        <v>53009.66</v>
      </c>
      <c r="L50" s="20">
        <f>IFERROR('Data Sheet'!K60,0)</f>
        <v>57486.83</v>
      </c>
    </row>
    <row r="51" spans="2:12" x14ac:dyDescent="0.3">
      <c r="B51" s="47" t="s">
        <v>103</v>
      </c>
      <c r="C51" s="48">
        <f>IFERROR('Data Sheet'!B61,0)</f>
        <v>70056.509999999995</v>
      </c>
      <c r="D51" s="48">
        <f>IFERROR('Data Sheet'!C61,0)</f>
        <v>82829.259999999995</v>
      </c>
      <c r="E51" s="48">
        <f>IFERROR('Data Sheet'!D61,0)</f>
        <v>81891.8</v>
      </c>
      <c r="F51" s="48">
        <f>IFERROR('Data Sheet'!E61,0)</f>
        <v>84073.44</v>
      </c>
      <c r="G51" s="48">
        <f>IFERROR('Data Sheet'!F61,0)</f>
        <v>89673.91</v>
      </c>
      <c r="H51" s="48">
        <f>IFERROR('Data Sheet'!G61,0)</f>
        <v>98654.84</v>
      </c>
      <c r="I51" s="48">
        <f>IFERROR('Data Sheet'!H61,0)</f>
        <v>112549.99</v>
      </c>
      <c r="J51" s="48">
        <f>IFERROR('Data Sheet'!I61,0)</f>
        <v>128096.14</v>
      </c>
      <c r="K51" s="48">
        <f>IFERROR('Data Sheet'!J61,0)</f>
        <v>139054.39999999999</v>
      </c>
      <c r="L51" s="48">
        <f>IFERROR('Data Sheet'!K61,0)</f>
        <v>156193.29999999999</v>
      </c>
    </row>
    <row r="53" spans="2:12" x14ac:dyDescent="0.3">
      <c r="B53" t="s">
        <v>104</v>
      </c>
      <c r="C53" s="20">
        <f>IFERROR('Data Sheet'!B62,0)</f>
        <v>36413.72</v>
      </c>
      <c r="D53" s="20">
        <f>IFERROR('Data Sheet'!C62,0)</f>
        <v>46594.79</v>
      </c>
      <c r="E53" s="20">
        <f>IFERROR('Data Sheet'!D62,0)</f>
        <v>44656.26</v>
      </c>
      <c r="F53" s="20">
        <f>IFERROR('Data Sheet'!E62,0)</f>
        <v>44304.89</v>
      </c>
      <c r="G53" s="20">
        <f>IFERROR('Data Sheet'!F62,0)</f>
        <v>47666.36</v>
      </c>
      <c r="H53" s="20">
        <f>IFERROR('Data Sheet'!G62,0)</f>
        <v>52179.15</v>
      </c>
      <c r="I53" s="20">
        <f>IFERROR('Data Sheet'!H62,0)</f>
        <v>57389.440000000002</v>
      </c>
      <c r="J53" s="20">
        <f>IFERROR('Data Sheet'!I62,0)</f>
        <v>61746.66</v>
      </c>
      <c r="K53" s="20">
        <f>IFERROR('Data Sheet'!J62,0)</f>
        <v>67209.56</v>
      </c>
      <c r="L53" s="20">
        <f>IFERROR('Data Sheet'!K62,0)</f>
        <v>78374.429999999993</v>
      </c>
    </row>
    <row r="54" spans="2:12" x14ac:dyDescent="0.3">
      <c r="B54" t="s">
        <v>28</v>
      </c>
      <c r="C54" s="20">
        <f>IFERROR('Data Sheet'!B63,0)</f>
        <v>1344.91</v>
      </c>
      <c r="D54" s="20">
        <f>IFERROR('Data Sheet'!C63,0)</f>
        <v>2177.92</v>
      </c>
      <c r="E54" s="20">
        <f>IFERROR('Data Sheet'!D63,0)</f>
        <v>1652.6</v>
      </c>
      <c r="F54" s="20">
        <f>IFERROR('Data Sheet'!E63,0)</f>
        <v>2575.6999999999998</v>
      </c>
      <c r="G54" s="20">
        <f>IFERROR('Data Sheet'!F63,0)</f>
        <v>1611.52</v>
      </c>
      <c r="H54" s="20">
        <f>IFERROR('Data Sheet'!G63,0)</f>
        <v>3270.26</v>
      </c>
      <c r="I54" s="20">
        <f>IFERROR('Data Sheet'!H63,0)</f>
        <v>4635.1000000000004</v>
      </c>
      <c r="J54" s="20">
        <f>IFERROR('Data Sheet'!I63,0)</f>
        <v>5376.36</v>
      </c>
      <c r="K54" s="20">
        <f>IFERROR('Data Sheet'!J63,0)</f>
        <v>11561.31</v>
      </c>
      <c r="L54" s="20">
        <f>IFERROR('Data Sheet'!K63,0)</f>
        <v>12678.87</v>
      </c>
    </row>
    <row r="55" spans="2:12" x14ac:dyDescent="0.3">
      <c r="B55" t="s">
        <v>29</v>
      </c>
      <c r="C55" s="20">
        <f>IFERROR('Data Sheet'!B64,0)</f>
        <v>11785.35</v>
      </c>
      <c r="D55" s="20">
        <f>IFERROR('Data Sheet'!C64,0)</f>
        <v>11873.01</v>
      </c>
      <c r="E55" s="20">
        <f>IFERROR('Data Sheet'!D64,0)</f>
        <v>12428.93</v>
      </c>
      <c r="F55" s="20">
        <f>IFERROR('Data Sheet'!E64,0)</f>
        <v>13541.87</v>
      </c>
      <c r="G55" s="20">
        <f>IFERROR('Data Sheet'!F64,0)</f>
        <v>14534.84</v>
      </c>
      <c r="H55" s="20">
        <f>IFERROR('Data Sheet'!G64,0)</f>
        <v>13149.05</v>
      </c>
      <c r="I55" s="20">
        <f>IFERROR('Data Sheet'!H64,0)</f>
        <v>14160.33</v>
      </c>
      <c r="J55" s="20">
        <f>IFERROR('Data Sheet'!I64,0)</f>
        <v>16669.689999999999</v>
      </c>
      <c r="K55" s="20">
        <f>IFERROR('Data Sheet'!J64,0)</f>
        <v>16315.99</v>
      </c>
      <c r="L55" s="20">
        <f>IFERROR('Data Sheet'!K64,0)</f>
        <v>16316.39</v>
      </c>
    </row>
    <row r="56" spans="2:12" x14ac:dyDescent="0.3">
      <c r="B56" t="s">
        <v>58</v>
      </c>
      <c r="C56" s="20">
        <f>IFERROR('Data Sheet'!B65-SUM('Data Sheet'!B67:B69),0)</f>
        <v>14935.73</v>
      </c>
      <c r="D56" s="20">
        <f>IFERROR('Data Sheet'!C65-SUM('Data Sheet'!C67:C69),0)</f>
        <v>15797.560000000001</v>
      </c>
      <c r="E56" s="20">
        <f>IFERROR('Data Sheet'!D65-SUM('Data Sheet'!D67:D69),0)</f>
        <v>17556.219999999998</v>
      </c>
      <c r="F56" s="20">
        <f>IFERROR('Data Sheet'!E65-SUM('Data Sheet'!E67:E69),0)</f>
        <v>16711.849999999999</v>
      </c>
      <c r="G56" s="20">
        <f>IFERROR('Data Sheet'!F65-SUM('Data Sheet'!F67:F69),0)</f>
        <v>17588.759999999998</v>
      </c>
      <c r="H56" s="20">
        <f>IFERROR('Data Sheet'!G65-SUM('Data Sheet'!G67:G69),0)</f>
        <v>17100.010000000002</v>
      </c>
      <c r="I56" s="20">
        <f>IFERROR('Data Sheet'!H65-SUM('Data Sheet'!H67:H69),0)</f>
        <v>19513.160000000003</v>
      </c>
      <c r="J56" s="20">
        <f>IFERROR('Data Sheet'!I65-SUM('Data Sheet'!I67:I69),0)</f>
        <v>22201.870000000003</v>
      </c>
      <c r="K56" s="20">
        <f>IFERROR('Data Sheet'!J65-SUM('Data Sheet'!J67:J69),0)</f>
        <v>22994.31</v>
      </c>
      <c r="L56" s="20">
        <f>IFERROR('Data Sheet'!K65-SUM('Data Sheet'!K67:K69),0)</f>
        <v>26791.030000000002</v>
      </c>
    </row>
    <row r="57" spans="2:12" x14ac:dyDescent="0.3">
      <c r="B57" s="47" t="s">
        <v>106</v>
      </c>
      <c r="C57" s="48">
        <f>IFERROR(SUM(C53:C56),0)</f>
        <v>64479.710000000006</v>
      </c>
      <c r="D57" s="48">
        <f t="shared" ref="D57:L57" si="18">IFERROR(SUM(D53:D56),0)</f>
        <v>76443.28</v>
      </c>
      <c r="E57" s="48">
        <f t="shared" si="18"/>
        <v>76294.009999999995</v>
      </c>
      <c r="F57" s="48">
        <f t="shared" si="18"/>
        <v>77134.31</v>
      </c>
      <c r="G57" s="48">
        <f t="shared" si="18"/>
        <v>81401.48</v>
      </c>
      <c r="H57" s="48">
        <f t="shared" si="18"/>
        <v>85698.47</v>
      </c>
      <c r="I57" s="48">
        <f t="shared" si="18"/>
        <v>95698.03</v>
      </c>
      <c r="J57" s="48">
        <f t="shared" si="18"/>
        <v>105994.58000000002</v>
      </c>
      <c r="K57" s="48">
        <f t="shared" si="18"/>
        <v>118081.17</v>
      </c>
      <c r="L57" s="48">
        <f t="shared" si="18"/>
        <v>134160.72</v>
      </c>
    </row>
    <row r="58" spans="2:12" x14ac:dyDescent="0.3">
      <c r="B58" s="2"/>
    </row>
    <row r="59" spans="2:12" x14ac:dyDescent="0.3">
      <c r="B59" t="s">
        <v>63</v>
      </c>
      <c r="C59" s="20">
        <f>IFERROR('Data Sheet'!B67,0)</f>
        <v>3540.24</v>
      </c>
      <c r="D59" s="20">
        <f>IFERROR('Data Sheet'!C67,0)</f>
        <v>3832.12</v>
      </c>
      <c r="E59" s="20">
        <f>IFERROR('Data Sheet'!D67,0)</f>
        <v>2788.93</v>
      </c>
      <c r="F59" s="20">
        <f>IFERROR('Data Sheet'!E67,0)</f>
        <v>4445.26</v>
      </c>
      <c r="G59" s="20">
        <f>IFERROR('Data Sheet'!F67,0)</f>
        <v>4425.8999999999996</v>
      </c>
      <c r="H59" s="20">
        <f>IFERROR('Data Sheet'!G67,0)</f>
        <v>5200.08</v>
      </c>
      <c r="I59" s="20">
        <f>IFERROR('Data Sheet'!H67,0)</f>
        <v>5979.74</v>
      </c>
      <c r="J59" s="20">
        <f>IFERROR('Data Sheet'!I67,0)</f>
        <v>6952.15</v>
      </c>
      <c r="K59" s="20">
        <f>IFERROR('Data Sheet'!J67,0)</f>
        <v>7401.69</v>
      </c>
      <c r="L59" s="20">
        <f>IFERROR('Data Sheet'!K67,0)</f>
        <v>5709.78</v>
      </c>
    </row>
    <row r="60" spans="2:12" x14ac:dyDescent="0.3">
      <c r="B60" t="s">
        <v>43</v>
      </c>
      <c r="C60" s="20">
        <f>IFERROR('Data Sheet'!B68,0)</f>
        <v>1373.4</v>
      </c>
      <c r="D60" s="20">
        <f>IFERROR('Data Sheet'!C68,0)</f>
        <v>1599.56</v>
      </c>
      <c r="E60" s="20">
        <f>IFERROR('Data Sheet'!D68,0)</f>
        <v>1623.08</v>
      </c>
      <c r="F60" s="20">
        <f>IFERROR('Data Sheet'!E68,0)</f>
        <v>1706.42</v>
      </c>
      <c r="G60" s="20">
        <f>IFERROR('Data Sheet'!F68,0)</f>
        <v>1752.35</v>
      </c>
      <c r="H60" s="20">
        <f>IFERROR('Data Sheet'!G68,0)</f>
        <v>1885.62</v>
      </c>
      <c r="I60" s="20">
        <f>IFERROR('Data Sheet'!H68,0)</f>
        <v>4231.5200000000004</v>
      </c>
      <c r="J60" s="20">
        <f>IFERROR('Data Sheet'!I68,0)</f>
        <v>3942.88</v>
      </c>
      <c r="K60" s="20">
        <f>IFERROR('Data Sheet'!J68,0)</f>
        <v>4419.63</v>
      </c>
      <c r="L60" s="20">
        <f>IFERROR('Data Sheet'!K68,0)</f>
        <v>4571.82</v>
      </c>
    </row>
    <row r="61" spans="2:12" x14ac:dyDescent="0.3">
      <c r="B61" t="s">
        <v>72</v>
      </c>
      <c r="C61" s="20">
        <f>IFERROR('Data Sheet'!B69,0)</f>
        <v>663.16</v>
      </c>
      <c r="D61" s="20">
        <f>IFERROR('Data Sheet'!C69,0)</f>
        <v>954.3</v>
      </c>
      <c r="E61" s="20">
        <f>IFERROR('Data Sheet'!D69,0)</f>
        <v>1185.78</v>
      </c>
      <c r="F61" s="20">
        <f>IFERROR('Data Sheet'!E69,0)</f>
        <v>787.45</v>
      </c>
      <c r="G61" s="20">
        <f>IFERROR('Data Sheet'!F69,0)</f>
        <v>2094.1799999999998</v>
      </c>
      <c r="H61" s="20">
        <f>IFERROR('Data Sheet'!G69,0)</f>
        <v>5870.67</v>
      </c>
      <c r="I61" s="20">
        <f>IFERROR('Data Sheet'!H69,0)</f>
        <v>6640.7</v>
      </c>
      <c r="J61" s="20">
        <f>IFERROR('Data Sheet'!I69,0)</f>
        <v>11206.53</v>
      </c>
      <c r="K61" s="20">
        <f>IFERROR('Data Sheet'!J69,0)</f>
        <v>9151.91</v>
      </c>
      <c r="L61" s="20">
        <f>IFERROR('Data Sheet'!K69,0)</f>
        <v>11750.98</v>
      </c>
    </row>
    <row r="62" spans="2:12" x14ac:dyDescent="0.3">
      <c r="B62" s="49" t="s">
        <v>107</v>
      </c>
      <c r="C62" s="48">
        <f>IFERROR(SUM(C61,C60,C59),0)</f>
        <v>5576.7999999999993</v>
      </c>
      <c r="D62" s="48">
        <f t="shared" ref="D62:L62" si="19">IFERROR(SUM(D61,D60,D59),0)</f>
        <v>6385.98</v>
      </c>
      <c r="E62" s="48">
        <f t="shared" si="19"/>
        <v>5597.7899999999991</v>
      </c>
      <c r="F62" s="48">
        <f t="shared" si="19"/>
        <v>6939.13</v>
      </c>
      <c r="G62" s="48">
        <f t="shared" si="19"/>
        <v>8272.43</v>
      </c>
      <c r="H62" s="48">
        <f t="shared" si="19"/>
        <v>12956.369999999999</v>
      </c>
      <c r="I62" s="48">
        <f t="shared" si="19"/>
        <v>16851.96</v>
      </c>
      <c r="J62" s="48">
        <f t="shared" si="19"/>
        <v>22101.559999999998</v>
      </c>
      <c r="K62" s="48">
        <f t="shared" si="19"/>
        <v>20973.23</v>
      </c>
      <c r="L62" s="48">
        <f t="shared" si="19"/>
        <v>22032.579999999998</v>
      </c>
    </row>
    <row r="63" spans="2:12" x14ac:dyDescent="0.3">
      <c r="B63" s="4"/>
    </row>
    <row r="64" spans="2:12" x14ac:dyDescent="0.3">
      <c r="B64" s="49" t="s">
        <v>105</v>
      </c>
      <c r="C64" s="48">
        <f>IFERROR(SUM(C62,C57),0)</f>
        <v>70056.510000000009</v>
      </c>
      <c r="D64" s="48">
        <f t="shared" ref="D64:L64" si="20">IFERROR(SUM(D62,D57),0)</f>
        <v>82829.259999999995</v>
      </c>
      <c r="E64" s="48">
        <f t="shared" si="20"/>
        <v>81891.799999999988</v>
      </c>
      <c r="F64" s="48">
        <f t="shared" si="20"/>
        <v>84073.44</v>
      </c>
      <c r="G64" s="48">
        <f t="shared" si="20"/>
        <v>89673.91</v>
      </c>
      <c r="H64" s="48">
        <f t="shared" si="20"/>
        <v>98654.84</v>
      </c>
      <c r="I64" s="48">
        <f t="shared" si="20"/>
        <v>112549.98999999999</v>
      </c>
      <c r="J64" s="48">
        <f t="shared" si="20"/>
        <v>128096.14000000001</v>
      </c>
      <c r="K64" s="48">
        <f t="shared" si="20"/>
        <v>139054.39999999999</v>
      </c>
      <c r="L64" s="48">
        <f t="shared" si="20"/>
        <v>156193.29999999999</v>
      </c>
    </row>
    <row r="66" spans="1:14" x14ac:dyDescent="0.3">
      <c r="B66" s="19" t="s">
        <v>108</v>
      </c>
      <c r="C66" s="19" t="b">
        <f>C64=C51</f>
        <v>1</v>
      </c>
      <c r="D66" s="19" t="b">
        <f t="shared" ref="D66:L66" si="21">D64=D51</f>
        <v>1</v>
      </c>
      <c r="E66" s="19" t="b">
        <f t="shared" si="21"/>
        <v>1</v>
      </c>
      <c r="F66" s="19" t="b">
        <f t="shared" si="21"/>
        <v>1</v>
      </c>
      <c r="G66" s="19" t="b">
        <f t="shared" si="21"/>
        <v>1</v>
      </c>
      <c r="H66" s="19" t="b">
        <f t="shared" si="21"/>
        <v>1</v>
      </c>
      <c r="I66" s="19" t="b">
        <f t="shared" si="21"/>
        <v>1</v>
      </c>
      <c r="J66" s="19" t="b">
        <f t="shared" si="21"/>
        <v>1</v>
      </c>
      <c r="K66" s="19" t="b">
        <f t="shared" si="21"/>
        <v>1</v>
      </c>
      <c r="L66" s="19" t="b">
        <f t="shared" si="21"/>
        <v>1</v>
      </c>
    </row>
    <row r="68" spans="1:14" x14ac:dyDescent="0.3">
      <c r="A68" t="s">
        <v>78</v>
      </c>
      <c r="B68" s="24" t="s">
        <v>109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1:14" x14ac:dyDescent="0.3">
      <c r="B69" s="45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</row>
    <row r="70" spans="1:14" x14ac:dyDescent="0.3">
      <c r="B70" t="s">
        <v>31</v>
      </c>
      <c r="C70" s="20">
        <v>37899.54</v>
      </c>
      <c r="D70" s="20">
        <v>30199.25</v>
      </c>
      <c r="E70" s="20">
        <v>23857.42</v>
      </c>
      <c r="F70" s="20">
        <v>18890.75</v>
      </c>
      <c r="G70" s="20">
        <v>26632.94</v>
      </c>
      <c r="H70" s="20">
        <v>29000.51</v>
      </c>
      <c r="I70" s="20">
        <v>14282.83</v>
      </c>
      <c r="J70" s="20">
        <v>35388.01</v>
      </c>
      <c r="K70" s="20">
        <v>67915</v>
      </c>
      <c r="L70" s="20">
        <v>63102</v>
      </c>
    </row>
    <row r="71" spans="1:14" x14ac:dyDescent="0.3">
      <c r="B71" s="6"/>
    </row>
    <row r="72" spans="1:14" x14ac:dyDescent="0.3">
      <c r="B72" t="s">
        <v>32</v>
      </c>
      <c r="C72" s="20">
        <v>-36693.9</v>
      </c>
      <c r="D72" s="20">
        <v>-39571.4</v>
      </c>
      <c r="E72" s="20">
        <v>-25139.14</v>
      </c>
      <c r="F72" s="20">
        <v>-20878.07</v>
      </c>
      <c r="G72" s="20">
        <v>-33114.550000000003</v>
      </c>
      <c r="H72" s="20">
        <v>-25672.5</v>
      </c>
      <c r="I72" s="20">
        <v>-4443.66</v>
      </c>
      <c r="J72" s="20">
        <v>-15417.17</v>
      </c>
      <c r="K72" s="20">
        <v>-22781</v>
      </c>
      <c r="L72" s="20">
        <v>-49982</v>
      </c>
      <c r="M72" s="20"/>
      <c r="N72" s="20"/>
    </row>
    <row r="73" spans="1:14" x14ac:dyDescent="0.3">
      <c r="B73" s="6"/>
      <c r="M73" s="20"/>
      <c r="N73" s="20"/>
    </row>
    <row r="74" spans="1:14" x14ac:dyDescent="0.3">
      <c r="B74" t="s">
        <v>33</v>
      </c>
      <c r="C74" s="20">
        <v>-3795.12</v>
      </c>
      <c r="D74" s="20">
        <v>6205.3</v>
      </c>
      <c r="E74" s="20">
        <v>2011.71</v>
      </c>
      <c r="F74" s="20">
        <v>8830.3700000000008</v>
      </c>
      <c r="G74" s="20">
        <v>3389.61</v>
      </c>
      <c r="H74" s="20">
        <v>9904.2000000000007</v>
      </c>
      <c r="I74" s="20">
        <v>-3380.17</v>
      </c>
      <c r="J74" s="20">
        <v>-26242.9</v>
      </c>
      <c r="K74" s="20">
        <v>-37006</v>
      </c>
      <c r="L74" s="20">
        <v>-18786</v>
      </c>
      <c r="M74" s="20"/>
      <c r="N74" s="20"/>
    </row>
    <row r="75" spans="1:14" x14ac:dyDescent="0.3">
      <c r="B75" s="6"/>
      <c r="M75" s="20"/>
      <c r="N75" s="20"/>
    </row>
    <row r="76" spans="1:14" x14ac:dyDescent="0.3">
      <c r="B76" s="2" t="s">
        <v>34</v>
      </c>
      <c r="C76" s="30">
        <v>-2589.48</v>
      </c>
      <c r="D76" s="30">
        <v>-3166.85</v>
      </c>
      <c r="E76" s="30">
        <v>729.99</v>
      </c>
      <c r="F76" s="30">
        <v>6843.05</v>
      </c>
      <c r="G76" s="30">
        <v>-3092</v>
      </c>
      <c r="H76" s="30">
        <v>13232.21</v>
      </c>
      <c r="I76" s="30">
        <v>6459</v>
      </c>
      <c r="J76" s="30">
        <v>-6272.06</v>
      </c>
      <c r="K76" s="30">
        <v>8128</v>
      </c>
      <c r="L76" s="30">
        <v>-5666</v>
      </c>
      <c r="M76" s="20"/>
      <c r="N76" s="20"/>
    </row>
    <row r="77" spans="1:14" x14ac:dyDescent="0.3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spans="1:14" x14ac:dyDescent="0.3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spans="1:14" x14ac:dyDescent="0.3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1:14" x14ac:dyDescent="0.3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2:14" x14ac:dyDescent="0.3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 spans="2:14" x14ac:dyDescent="0.3">
      <c r="B82" s="2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</row>
    <row r="84" spans="2:14" x14ac:dyDescent="0.3">
      <c r="B84" s="2"/>
    </row>
    <row r="85" spans="2:14" x14ac:dyDescent="0.3"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spans="2:14" x14ac:dyDescent="0.3"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spans="2:14" x14ac:dyDescent="0.3"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spans="2:14" x14ac:dyDescent="0.3"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spans="2:14" x14ac:dyDescent="0.3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spans="2:14" x14ac:dyDescent="0.3"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spans="2:14" x14ac:dyDescent="0.3"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spans="2:14" x14ac:dyDescent="0.3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spans="2:14" x14ac:dyDescent="0.3"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spans="2:14" x14ac:dyDescent="0.3"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spans="2:14" x14ac:dyDescent="0.3"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spans="2:14" x14ac:dyDescent="0.3">
      <c r="B96" s="2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</row>
    <row r="98" spans="2:12" x14ac:dyDescent="0.3">
      <c r="B98" s="2"/>
    </row>
    <row r="99" spans="2:12" x14ac:dyDescent="0.3"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spans="2:12" x14ac:dyDescent="0.3"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2:12" x14ac:dyDescent="0.3"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spans="2:12" x14ac:dyDescent="0.3"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spans="2:12" x14ac:dyDescent="0.3"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spans="2:12" x14ac:dyDescent="0.3"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 spans="2:12" x14ac:dyDescent="0.3"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spans="2:12" x14ac:dyDescent="0.3"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spans="2:12" x14ac:dyDescent="0.3">
      <c r="B107" s="2"/>
      <c r="C107" s="30"/>
      <c r="D107" s="30"/>
      <c r="E107" s="30"/>
      <c r="F107" s="30"/>
      <c r="G107" s="30"/>
      <c r="H107" s="30"/>
      <c r="I107" s="30"/>
      <c r="J107" s="30"/>
      <c r="K107" s="30"/>
      <c r="L107" s="30"/>
    </row>
    <row r="109" spans="2:12" x14ac:dyDescent="0.3">
      <c r="B109" s="2"/>
      <c r="C109" s="30"/>
      <c r="D109" s="30"/>
      <c r="E109" s="30"/>
      <c r="F109" s="30"/>
      <c r="G109" s="30"/>
      <c r="H109" s="30"/>
      <c r="I109" s="30"/>
      <c r="J109" s="30"/>
      <c r="K109" s="30"/>
      <c r="L109" s="30"/>
    </row>
  </sheetData>
  <pageMargins left="0.7" right="0.7" top="0.75" bottom="0.75" header="0.3" footer="0.3"/>
  <pageSetup orientation="portrait" r:id="rId1"/>
  <ignoredErrors>
    <ignoredError sqref="M6 C15:L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EBE6-5607-4E42-B0CF-D86634F14C63}">
  <sheetPr>
    <tabColor rgb="FF002060"/>
  </sheetPr>
  <dimension ref="B2:P41"/>
  <sheetViews>
    <sheetView showGridLines="0" workbookViewId="0">
      <selection activeCell="C39" sqref="C39"/>
    </sheetView>
  </sheetViews>
  <sheetFormatPr defaultRowHeight="14.4" x14ac:dyDescent="0.3"/>
  <cols>
    <col min="1" max="1" width="1.88671875" customWidth="1"/>
    <col min="2" max="2" width="30.6640625" customWidth="1"/>
    <col min="3" max="12" width="10.6640625" customWidth="1"/>
    <col min="13" max="13" width="11.5546875" style="46" customWidth="1"/>
    <col min="14" max="14" width="8.6640625" customWidth="1"/>
    <col min="15" max="15" width="8.5546875" customWidth="1"/>
  </cols>
  <sheetData>
    <row r="2" spans="2:16" x14ac:dyDescent="0.3">
      <c r="B2" s="80" t="str">
        <f>"Ratio Analysis - "&amp; 'Data Sheet'!B1</f>
        <v>Ratio Analysis - TATA POWER COMPANY LTD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6" x14ac:dyDescent="0.3">
      <c r="B3" s="17" t="s">
        <v>75</v>
      </c>
      <c r="C3" s="18">
        <f>'Data Sheet'!B16</f>
        <v>42460</v>
      </c>
      <c r="D3" s="18">
        <f>'Data Sheet'!C16</f>
        <v>42825</v>
      </c>
      <c r="E3" s="18">
        <f>'Data Sheet'!D16</f>
        <v>43190</v>
      </c>
      <c r="F3" s="18">
        <f>'Data Sheet'!E16</f>
        <v>43555</v>
      </c>
      <c r="G3" s="18">
        <f>'Data Sheet'!F16</f>
        <v>43921</v>
      </c>
      <c r="H3" s="18">
        <f>'Data Sheet'!G16</f>
        <v>44286</v>
      </c>
      <c r="I3" s="18">
        <f>'Data Sheet'!H16</f>
        <v>44651</v>
      </c>
      <c r="J3" s="18">
        <f>'Data Sheet'!I16</f>
        <v>45016</v>
      </c>
      <c r="K3" s="18">
        <f>'Data Sheet'!J16</f>
        <v>45382</v>
      </c>
      <c r="L3" s="18">
        <f>'Data Sheet'!K16</f>
        <v>45747</v>
      </c>
      <c r="M3" s="17" t="s">
        <v>167</v>
      </c>
      <c r="N3" s="18" t="s">
        <v>165</v>
      </c>
      <c r="O3" s="18" t="s">
        <v>166</v>
      </c>
    </row>
    <row r="5" spans="2:16" x14ac:dyDescent="0.3">
      <c r="B5" s="54" t="s">
        <v>22</v>
      </c>
      <c r="C5" s="55" t="str">
        <f>IFERROR(HistoricalFS!C7,0)</f>
        <v>-</v>
      </c>
      <c r="D5" s="55">
        <f>IFERROR(HistoricalFS!D7,0)</f>
        <v>-6.4646728350901683E-2</v>
      </c>
      <c r="E5" s="55">
        <f>IFERROR(HistoricalFS!E7,0)</f>
        <v>-2.7088991825672371E-2</v>
      </c>
      <c r="F5" s="55">
        <f>IFERROR(HistoricalFS!F7,0)</f>
        <v>0.1132920794015857</v>
      </c>
      <c r="G5" s="55">
        <f>IFERROR(HistoricalFS!G7,0)</f>
        <v>-2.4921806656122758E-2</v>
      </c>
      <c r="H5" s="55">
        <f>IFERROR(HistoricalFS!H7,0)</f>
        <v>0.12242225095301862</v>
      </c>
      <c r="I5" s="55">
        <f>IFERROR(HistoricalFS!I7,0)</f>
        <v>0.30921518341721366</v>
      </c>
      <c r="J5" s="55">
        <f>IFERROR(HistoricalFS!J7,0)</f>
        <v>0.28712408330875139</v>
      </c>
      <c r="K5" s="55">
        <f>IFERROR(HistoricalFS!K7,0)</f>
        <v>0.11504129628003223</v>
      </c>
      <c r="L5" s="55">
        <f>IFERROR(HistoricalFS!L7,0)</f>
        <v>6.5572207150982331E-2</v>
      </c>
      <c r="M5" s="64"/>
      <c r="N5" s="55">
        <f>IFERROR(AVERAGE(D5:L5),0)</f>
        <v>9.9556619297654123E-2</v>
      </c>
      <c r="O5" s="55">
        <f>IFERROR(MEDIAN(C5:L5),0)</f>
        <v>0.1132920794015857</v>
      </c>
    </row>
    <row r="6" spans="2:16" x14ac:dyDescent="0.3">
      <c r="B6" t="s">
        <v>170</v>
      </c>
      <c r="D6" s="52">
        <f>IFERROR(HistoricalFS!D18/HistoricalFS!C18-1,0)</f>
        <v>1.5998441975461133</v>
      </c>
      <c r="E6" s="52">
        <f>IFERROR(HistoricalFS!E18/HistoricalFS!D18-1,0)</f>
        <v>-0.58072048336734694</v>
      </c>
      <c r="F6" s="52">
        <f>IFERROR(HistoricalFS!F18/HistoricalFS!E18-1,0)</f>
        <v>0.33775050875228341</v>
      </c>
      <c r="G6" s="52">
        <f>IFERROR(HistoricalFS!G18/HistoricalFS!F18-1,0)</f>
        <v>1.2167001638484489</v>
      </c>
      <c r="H6" s="52">
        <f>IFERROR(HistoricalFS!H18/HistoricalFS!G18-1,0)</f>
        <v>1.7021132773064496E-2</v>
      </c>
      <c r="I6" s="52">
        <f>IFERROR(HistoricalFS!I18/HistoricalFS!H18-1,0)</f>
        <v>1.5892441734457252E-2</v>
      </c>
      <c r="J6" s="52">
        <f>IFERROR(HistoricalFS!J18/HistoricalFS!I18-1,0)</f>
        <v>9.9115474712305529E-2</v>
      </c>
      <c r="K6" s="52">
        <f>IFERROR(HistoricalFS!K18/HistoricalFS!J18-1,0)</f>
        <v>0.38918392910752897</v>
      </c>
      <c r="L6" s="52">
        <f>IFERROR(HistoricalFS!L18/HistoricalFS!K18-1,0)</f>
        <v>0.13323453137691721</v>
      </c>
      <c r="N6" s="52">
        <f t="shared" ref="N6:N9" si="0">IFERROR(AVERAGE(D6:L6),0)</f>
        <v>0.35866909960930798</v>
      </c>
      <c r="O6" s="52">
        <f t="shared" ref="O6:O9" si="1">IFERROR(MEDIAN(C6:L6),0)</f>
        <v>0.13323453137691721</v>
      </c>
    </row>
    <row r="7" spans="2:16" x14ac:dyDescent="0.3">
      <c r="B7" t="s">
        <v>162</v>
      </c>
      <c r="D7" s="52">
        <f>IFERROR(HistoricalFS!D27/HistoricalFS!C27-1,0)</f>
        <v>-1.0549488901921693</v>
      </c>
      <c r="E7" s="52">
        <f>IFERROR(HistoricalFS!E27/HistoricalFS!D27-1,0)</f>
        <v>-25.966081718177303</v>
      </c>
      <c r="F7" s="52">
        <f>IFERROR(HistoricalFS!F27/HistoricalFS!E27-1,0)</f>
        <v>-8.3822472605578624E-2</v>
      </c>
      <c r="G7" s="52">
        <f>IFERROR(HistoricalFS!G27/HistoricalFS!F27-1,0)</f>
        <v>-0.9077584578125627</v>
      </c>
      <c r="H7" s="52">
        <f>IFERROR(HistoricalFS!H27/HistoricalFS!G27-1,0)</f>
        <v>-1.5138414747687861</v>
      </c>
      <c r="I7" s="52">
        <f>IFERROR(HistoricalFS!I27/HistoricalFS!H27-1,0)</f>
        <v>-0.70000603974147291</v>
      </c>
      <c r="J7" s="52">
        <f>IFERROR(HistoricalFS!J27/HistoricalFS!I27-1,0)</f>
        <v>-2.6728407489427921</v>
      </c>
      <c r="K7" s="52">
        <f>IFERROR(HistoricalFS!K27/HistoricalFS!J27-1,0)</f>
        <v>-28.869659405465786</v>
      </c>
      <c r="L7" s="52">
        <f>IFERROR(HistoricalFS!L27/HistoricalFS!K27-1,0)</f>
        <v>0.44505093514243765</v>
      </c>
      <c r="N7" s="52">
        <f t="shared" si="0"/>
        <v>-6.813767585840445</v>
      </c>
      <c r="O7" s="52">
        <f t="shared" si="1"/>
        <v>-1.0549488901921693</v>
      </c>
    </row>
    <row r="8" spans="2:16" x14ac:dyDescent="0.3">
      <c r="B8" t="s">
        <v>138</v>
      </c>
      <c r="D8" s="52">
        <f>IFERROR(HistoricalFS!D33/HistoricalFS!C33-1,0)</f>
        <v>-0.94284343367190571</v>
      </c>
      <c r="E8" s="52">
        <f>IFERROR(HistoricalFS!E33/HistoricalFS!D33-1,0)</f>
        <v>19.101092343481174</v>
      </c>
      <c r="F8" s="52">
        <f>IFERROR(HistoricalFS!F33/HistoricalFS!E33-1,0)</f>
        <v>0.15246591643835239</v>
      </c>
      <c r="G8" s="52">
        <f>IFERROR(HistoricalFS!G33/HistoricalFS!F33-1,0)</f>
        <v>-0.78962017634435833</v>
      </c>
      <c r="H8" s="52">
        <f>IFERROR(HistoricalFS!H33/HistoricalFS!G33-1,0)</f>
        <v>-0.6510257235060315</v>
      </c>
      <c r="I8" s="52">
        <f>IFERROR(HistoricalFS!I33/HistoricalFS!H33-1,0)</f>
        <v>-1.9089530492717333E-2</v>
      </c>
      <c r="J8" s="52">
        <f>IFERROR(HistoricalFS!J33/HistoricalFS!I33-1,0)</f>
        <v>4.2454454515141835</v>
      </c>
      <c r="K8" s="52">
        <f>IFERROR(HistoricalFS!K33/HistoricalFS!J33-1,0)</f>
        <v>-1.4991678320870117</v>
      </c>
      <c r="L8" s="52">
        <f>IFERROR(HistoricalFS!L33/HistoricalFS!K33-1,0)</f>
        <v>1.0862498118712027</v>
      </c>
      <c r="N8" s="52">
        <f t="shared" si="0"/>
        <v>2.298167425244765</v>
      </c>
      <c r="O8" s="52">
        <f t="shared" si="1"/>
        <v>-1.9089530492717333E-2</v>
      </c>
    </row>
    <row r="9" spans="2:16" x14ac:dyDescent="0.3">
      <c r="B9" s="56" t="s">
        <v>139</v>
      </c>
      <c r="C9" s="56"/>
      <c r="D9" s="57">
        <f>IFERROR(HistoricalFS!D41/HistoricalFS!C41-1,0)</f>
        <v>1.137044960985989E-5</v>
      </c>
      <c r="E9" s="57">
        <f>IFERROR(HistoricalFS!E41/HistoricalFS!D41-1,0)</f>
        <v>0</v>
      </c>
      <c r="F9" s="57">
        <f>IFERROR(HistoricalFS!F41/HistoricalFS!E41-1,0)</f>
        <v>0</v>
      </c>
      <c r="G9" s="57">
        <f>IFERROR(HistoricalFS!G41/HistoricalFS!F41-1,0)</f>
        <v>0.19232191099104234</v>
      </c>
      <c r="H9" s="57">
        <f>IFERROR(HistoricalFS!H41/HistoricalFS!G41-1,0)</f>
        <v>1.2056202109089753E-5</v>
      </c>
      <c r="I9" s="57">
        <f>IFERROR(HistoricalFS!I41/HistoricalFS!H41-1,0)</f>
        <v>0.12902769926512137</v>
      </c>
      <c r="J9" s="57">
        <f>IFERROR(HistoricalFS!J41/HistoricalFS!I41-1,0)</f>
        <v>0.14285714285714279</v>
      </c>
      <c r="K9" s="57">
        <f>IFERROR(HistoricalFS!K41/HistoricalFS!J41-1,0)</f>
        <v>0</v>
      </c>
      <c r="L9" s="57">
        <f>IFERROR(HistoricalFS!L41/HistoricalFS!K41-1,0)</f>
        <v>0.25</v>
      </c>
      <c r="M9" s="65"/>
      <c r="N9" s="57">
        <f t="shared" si="0"/>
        <v>7.9358908862780603E-2</v>
      </c>
      <c r="O9" s="57">
        <f t="shared" si="1"/>
        <v>1.2056202109089753E-5</v>
      </c>
    </row>
    <row r="10" spans="2:16" x14ac:dyDescent="0.3">
      <c r="O10" s="29"/>
    </row>
    <row r="11" spans="2:16" x14ac:dyDescent="0.3">
      <c r="B11" s="54" t="s">
        <v>90</v>
      </c>
      <c r="C11" s="55">
        <f>IFERROR(HistoricalFS!C13,0)</f>
        <v>0.26614498394605057</v>
      </c>
      <c r="D11" s="55">
        <f>IFERROR(HistoricalFS!D13,0)</f>
        <v>0.23831476399352022</v>
      </c>
      <c r="E11" s="55">
        <f>IFERROR(HistoricalFS!E13,0)</f>
        <v>0.25990610377615431</v>
      </c>
      <c r="F11" s="55">
        <f>IFERROR(HistoricalFS!F13,0)</f>
        <v>0.24711606616365026</v>
      </c>
      <c r="G11" s="55">
        <f>IFERROR(HistoricalFS!G13,0)</f>
        <v>0.2916372217953026</v>
      </c>
      <c r="H11" s="55">
        <f>IFERROR(HistoricalFS!H13,0)</f>
        <v>0.23599048536677167</v>
      </c>
      <c r="I11" s="55">
        <f>IFERROR(HistoricalFS!I13,0)</f>
        <v>0.20030750423851837</v>
      </c>
      <c r="J11" s="55">
        <f>IFERROR(HistoricalFS!J13,0)</f>
        <v>0.17326328075155681</v>
      </c>
      <c r="K11" s="55">
        <f>IFERROR(HistoricalFS!K13,0)</f>
        <v>0.20143778000908077</v>
      </c>
      <c r="L11" s="55">
        <f>IFERROR(HistoricalFS!L13,0)</f>
        <v>0.23824739333250247</v>
      </c>
      <c r="M11" s="64"/>
      <c r="N11" s="55">
        <f>IFERROR(AVERAGE(C11:L11),0)</f>
        <v>0.23523655833731083</v>
      </c>
      <c r="O11" s="55">
        <f t="shared" ref="O11:O15" si="2">IFERROR(MEDIAN(C11:L11),0)</f>
        <v>0.23828107866301135</v>
      </c>
      <c r="P11" s="29"/>
    </row>
    <row r="12" spans="2:16" x14ac:dyDescent="0.3">
      <c r="B12" t="s">
        <v>163</v>
      </c>
      <c r="C12" s="52">
        <f>IFERROR(HistoricalFS!C19,0)</f>
        <v>7.1377520402247138E-2</v>
      </c>
      <c r="D12" s="52">
        <f>IFERROR(HistoricalFS!D19,0)</f>
        <v>0.19839609041601672</v>
      </c>
      <c r="E12" s="52">
        <f>IFERROR(HistoricalFS!E19,0)</f>
        <v>8.5499512486275311E-2</v>
      </c>
      <c r="F12" s="52">
        <f>IFERROR(HistoricalFS!F19,0)</f>
        <v>0.10273765388510325</v>
      </c>
      <c r="G12" s="52">
        <f>IFERROR(HistoricalFS!G19,0)</f>
        <v>0.23355929376240073</v>
      </c>
      <c r="H12" s="52">
        <f>IFERROR(HistoricalFS!H19,0)</f>
        <v>0.21162689648234376</v>
      </c>
      <c r="I12" s="52">
        <f>IFERROR(HistoricalFS!I19,0)</f>
        <v>0.16421300892874041</v>
      </c>
      <c r="J12" s="52">
        <f>IFERROR(HistoricalFS!J19,0)</f>
        <v>0.14022661964235303</v>
      </c>
      <c r="K12" s="52">
        <f>IFERROR(HistoricalFS!K19,0)</f>
        <v>0.1747025577349636</v>
      </c>
      <c r="L12" s="52">
        <f>IFERROR(HistoricalFS!L19,0)</f>
        <v>0.18579592243163526</v>
      </c>
      <c r="N12" s="52">
        <f t="shared" ref="N12:N31" si="3">IFERROR(AVERAGE(C12:L12),0)</f>
        <v>0.15681350761720791</v>
      </c>
      <c r="O12" s="52">
        <f t="shared" si="2"/>
        <v>0.16945778333185202</v>
      </c>
      <c r="P12" s="29"/>
    </row>
    <row r="13" spans="2:16" x14ac:dyDescent="0.3">
      <c r="B13" t="s">
        <v>140</v>
      </c>
      <c r="C13" s="52">
        <f>IFERROR((HistoricalFS!C18-HistoricalFS!C24)/HistoricalFS!C6,0)</f>
        <v>1.5477566851900122E-2</v>
      </c>
      <c r="D13" s="52">
        <f>IFERROR((HistoricalFS!D18-HistoricalFS!D24)/HistoricalFS!D6,0)</f>
        <v>0.12750950699209312</v>
      </c>
      <c r="E13" s="52">
        <f>IFERROR((HistoricalFS!E18-HistoricalFS!E24)/HistoricalFS!E6,0)</f>
        <v>-1.912797449504019E-3</v>
      </c>
      <c r="F13" s="52">
        <f>IFERROR((HistoricalFS!F18-HistoricalFS!F24)/HistoricalFS!F6,0)</f>
        <v>2.2649129582417871E-2</v>
      </c>
      <c r="G13" s="52">
        <f>IFERROR((HistoricalFS!G18-HistoricalFS!G24)/HistoricalFS!G6,0)</f>
        <v>0.14317191880800526</v>
      </c>
      <c r="H13" s="52">
        <f>IFERROR((HistoricalFS!H18-HistoricalFS!H24)/HistoricalFS!H6,0)</f>
        <v>0.12769227335092373</v>
      </c>
      <c r="I13" s="52">
        <f>IFERROR((HistoricalFS!I18-HistoricalFS!I24)/HistoricalFS!I6,0)</f>
        <v>9.1291109072916612E-2</v>
      </c>
      <c r="J13" s="52">
        <f>IFERROR((HistoricalFS!J18-HistoricalFS!J24)/HistoricalFS!J6,0)</f>
        <v>7.7819480927643958E-2</v>
      </c>
      <c r="K13" s="52">
        <f>IFERROR((HistoricalFS!K18-HistoricalFS!K24)/HistoricalFS!K6,0)</f>
        <v>0.11308436766158556</v>
      </c>
      <c r="L13" s="52">
        <f>IFERROR((HistoricalFS!L18-HistoricalFS!L24)/HistoricalFS!L6,0)</f>
        <v>0.12292221049313477</v>
      </c>
      <c r="N13" s="52">
        <f t="shared" si="3"/>
        <v>8.3970476629111709E-2</v>
      </c>
      <c r="O13" s="52">
        <f t="shared" si="2"/>
        <v>0.10218773836725109</v>
      </c>
      <c r="P13" s="29"/>
    </row>
    <row r="14" spans="2:16" x14ac:dyDescent="0.3">
      <c r="B14" t="s">
        <v>141</v>
      </c>
      <c r="C14" s="52">
        <f>IFERROR(HistoricalFS!C28,0)</f>
        <v>-9.4232105864523047E-2</v>
      </c>
      <c r="D14" s="52">
        <f>IFERROR(HistoricalFS!D28,0)</f>
        <v>5.535822447701972E-3</v>
      </c>
      <c r="E14" s="52">
        <f>IFERROR(HistoricalFS!E28,0)</f>
        <v>-0.14205594802138721</v>
      </c>
      <c r="F14" s="52">
        <f>IFERROR(HistoricalFS!F28,0)</f>
        <v>-0.11690415266392813</v>
      </c>
      <c r="G14" s="52">
        <f>IFERROR(HistoricalFS!G28,0)</f>
        <v>-1.1059030345921587E-2</v>
      </c>
      <c r="H14" s="52">
        <f>IFERROR(HistoricalFS!H28,0)</f>
        <v>5.0627902802498547E-3</v>
      </c>
      <c r="I14" s="52">
        <f>IFERROR(HistoricalFS!I28,0)</f>
        <v>1.1600892850679135E-3</v>
      </c>
      <c r="J14" s="52">
        <f>IFERROR(HistoricalFS!J28,0)</f>
        <v>-1.5077370190174594E-3</v>
      </c>
      <c r="K14" s="52">
        <f>IFERROR(HistoricalFS!K28,0)</f>
        <v>3.7684808027483065E-2</v>
      </c>
      <c r="L14" s="52">
        <f>IFERROR(HistoricalFS!L28,0)</f>
        <v>5.11053748543027E-2</v>
      </c>
      <c r="N14" s="52">
        <f t="shared" si="3"/>
        <v>-2.6521008901997191E-2</v>
      </c>
      <c r="O14" s="52">
        <f t="shared" si="2"/>
        <v>-1.7382386697477282E-4</v>
      </c>
      <c r="P14" s="29"/>
    </row>
    <row r="15" spans="2:16" x14ac:dyDescent="0.3">
      <c r="B15" s="56" t="s">
        <v>142</v>
      </c>
      <c r="C15" s="57">
        <f>IFERROR(HistoricalFS!C34,0)</f>
        <v>-0.11729791858087842</v>
      </c>
      <c r="D15" s="57">
        <f>IFERROR(HistoricalFS!D34,0)</f>
        <v>-7.1677156286577238E-3</v>
      </c>
      <c r="E15" s="57">
        <f>IFERROR(HistoricalFS!E34,0)</f>
        <v>-0.14809053709221251</v>
      </c>
      <c r="F15" s="57">
        <f>IFERROR(HistoricalFS!F34,0)</f>
        <v>-0.15330145583858124</v>
      </c>
      <c r="G15" s="57">
        <f>IFERROR(HistoricalFS!G34,0)</f>
        <v>-3.3075843009956266E-2</v>
      </c>
      <c r="H15" s="57">
        <f>IFERROR(HistoricalFS!H34,0)</f>
        <v>-1.0283668533857952E-2</v>
      </c>
      <c r="I15" s="57">
        <f>IFERROR(HistoricalFS!I34,0)</f>
        <v>-7.7048893547618505E-3</v>
      </c>
      <c r="J15" s="57">
        <f>IFERROR(HistoricalFS!J34,0)</f>
        <v>-3.1399907238516676E-2</v>
      </c>
      <c r="K15" s="57">
        <f>IFERROR(HistoricalFS!K34,0)</f>
        <v>1.4056720299305667E-2</v>
      </c>
      <c r="L15" s="57">
        <f>IFERROR(HistoricalFS!L34,0)</f>
        <v>2.7521203990821946E-2</v>
      </c>
      <c r="M15" s="65"/>
      <c r="N15" s="57">
        <f t="shared" si="3"/>
        <v>-4.6674401098729487E-2</v>
      </c>
      <c r="O15" s="57">
        <f t="shared" si="2"/>
        <v>-2.0841787886187315E-2</v>
      </c>
      <c r="P15" s="29"/>
    </row>
    <row r="16" spans="2:16" x14ac:dyDescent="0.3">
      <c r="O16" s="29"/>
    </row>
    <row r="17" spans="2:15" x14ac:dyDescent="0.3">
      <c r="B17" s="54" t="s">
        <v>143</v>
      </c>
      <c r="C17" s="58">
        <f>IFERROR(HistoricalFS!C16,0)</f>
        <v>0.19476746354380339</v>
      </c>
      <c r="D17" s="58">
        <f>IFERROR(HistoricalFS!D16,0)</f>
        <v>3.9918673577503505E-2</v>
      </c>
      <c r="E17" s="58">
        <f>IFERROR(HistoricalFS!E16,0)</f>
        <v>0.17440659128987898</v>
      </c>
      <c r="F17" s="58">
        <f>IFERROR(HistoricalFS!F16,0)</f>
        <v>0.144378412278547</v>
      </c>
      <c r="G17" s="58">
        <f>IFERROR(HistoricalFS!G16,0)</f>
        <v>5.8077928032901835E-2</v>
      </c>
      <c r="H17" s="58">
        <f>IFERROR(HistoricalFS!H16,0)</f>
        <v>2.4363588884427904E-2</v>
      </c>
      <c r="I17" s="58">
        <f>IFERROR(HistoricalFS!I16,0)</f>
        <v>3.6094495309777944E-2</v>
      </c>
      <c r="J17" s="58">
        <f>IFERROR(HistoricalFS!J16,0)</f>
        <v>3.303666110920378E-2</v>
      </c>
      <c r="K17" s="58">
        <f>IFERROR(HistoricalFS!K16,0)</f>
        <v>2.673522227411719E-2</v>
      </c>
      <c r="L17" s="58">
        <f>IFERROR(HistoricalFS!L16,0)</f>
        <v>5.2451470900867228E-2</v>
      </c>
      <c r="M17" s="64"/>
      <c r="N17" s="55">
        <f t="shared" si="3"/>
        <v>7.8423050720102874E-2</v>
      </c>
      <c r="O17" s="55">
        <f t="shared" ref="O17:O19" si="4">IFERROR(MEDIAN(C17:L17),0)</f>
        <v>4.6185072239185367E-2</v>
      </c>
    </row>
    <row r="18" spans="2:15" x14ac:dyDescent="0.3">
      <c r="B18" t="s">
        <v>144</v>
      </c>
      <c r="C18" s="5">
        <f>IFERROR(HistoricalFS!C25,0)</f>
        <v>5.589995355034702E-2</v>
      </c>
      <c r="D18" s="5">
        <f>IFERROR(HistoricalFS!D25,0)</f>
        <v>7.088658342392358E-2</v>
      </c>
      <c r="E18" s="5">
        <f>IFERROR(HistoricalFS!E25,0)</f>
        <v>8.7412309935779337E-2</v>
      </c>
      <c r="F18" s="5">
        <f>IFERROR(HistoricalFS!F25,0)</f>
        <v>8.0088524302685385E-2</v>
      </c>
      <c r="G18" s="5">
        <f>IFERROR(HistoricalFS!G25,0)</f>
        <v>9.0387374954395486E-2</v>
      </c>
      <c r="H18" s="5">
        <f>IFERROR(HistoricalFS!H25,0)</f>
        <v>8.3934623131420028E-2</v>
      </c>
      <c r="I18" s="5">
        <f>IFERROR(HistoricalFS!I25,0)</f>
        <v>7.2921899855823813E-2</v>
      </c>
      <c r="J18" s="5">
        <f>IFERROR(HistoricalFS!J25,0)</f>
        <v>6.2407138714709078E-2</v>
      </c>
      <c r="K18" s="5">
        <f>IFERROR(HistoricalFS!K25,0)</f>
        <v>6.1618190073378036E-2</v>
      </c>
      <c r="L18" s="5">
        <f>IFERROR(HistoricalFS!L25,0)</f>
        <v>6.2873711938500484E-2</v>
      </c>
      <c r="N18" s="52">
        <f>IFERROR(AVERAGE(C18:L18),0)</f>
        <v>7.2843030988096219E-2</v>
      </c>
      <c r="O18" s="52">
        <f t="shared" si="4"/>
        <v>7.1904241639873689E-2</v>
      </c>
    </row>
    <row r="19" spans="2:15" x14ac:dyDescent="0.3">
      <c r="B19" s="56" t="s">
        <v>145</v>
      </c>
      <c r="C19" s="59">
        <f>C13</f>
        <v>1.5477566851900122E-2</v>
      </c>
      <c r="D19" s="59">
        <f t="shared" ref="D19:L19" si="5">D13</f>
        <v>0.12750950699209312</v>
      </c>
      <c r="E19" s="59">
        <f t="shared" si="5"/>
        <v>-1.912797449504019E-3</v>
      </c>
      <c r="F19" s="59">
        <f t="shared" si="5"/>
        <v>2.2649129582417871E-2</v>
      </c>
      <c r="G19" s="59">
        <f t="shared" si="5"/>
        <v>0.14317191880800526</v>
      </c>
      <c r="H19" s="59">
        <f t="shared" si="5"/>
        <v>0.12769227335092373</v>
      </c>
      <c r="I19" s="59">
        <f t="shared" si="5"/>
        <v>9.1291109072916612E-2</v>
      </c>
      <c r="J19" s="59">
        <f t="shared" si="5"/>
        <v>7.7819480927643958E-2</v>
      </c>
      <c r="K19" s="59">
        <f t="shared" si="5"/>
        <v>0.11308436766158556</v>
      </c>
      <c r="L19" s="59">
        <f t="shared" si="5"/>
        <v>0.12292221049313477</v>
      </c>
      <c r="M19" s="65"/>
      <c r="N19" s="57">
        <f t="shared" si="3"/>
        <v>8.3970476629111709E-2</v>
      </c>
      <c r="O19" s="57">
        <f t="shared" si="4"/>
        <v>0.10218773836725109</v>
      </c>
    </row>
    <row r="20" spans="2:15" x14ac:dyDescent="0.3">
      <c r="O20" s="29"/>
    </row>
    <row r="21" spans="2:15" x14ac:dyDescent="0.3">
      <c r="B21" s="54" t="s">
        <v>146</v>
      </c>
      <c r="C21" s="55">
        <f>IFERROR((HistoricalFS!C18-HistoricalFS!C24)/SUM(HistoricalFS!C47:C49),0)</f>
        <v>9.0428325202046942E-3</v>
      </c>
      <c r="D21" s="55">
        <f>IFERROR((HistoricalFS!D18-HistoricalFS!D24)/SUM(HistoricalFS!D47:D49),0)</f>
        <v>5.6709370762128467E-2</v>
      </c>
      <c r="E21" s="55">
        <f>IFERROR((HistoricalFS!E18-HistoricalFS!E24)/SUM(HistoricalFS!E47:E49),0)</f>
        <v>-7.8997838407412254E-4</v>
      </c>
      <c r="F21" s="55">
        <f>IFERROR((HistoricalFS!F18-HistoricalFS!F24)/SUM(HistoricalFS!F47:F49),0)</f>
        <v>1.0129685660638068E-2</v>
      </c>
      <c r="G21" s="55">
        <f>IFERROR((HistoricalFS!G18-HistoricalFS!G24)/SUM(HistoricalFS!G47:G49),0)</f>
        <v>5.8341026573039675E-2</v>
      </c>
      <c r="H21" s="55">
        <f>IFERROR((HistoricalFS!H18-HistoricalFS!H24)/SUM(HistoricalFS!H47:H49),0)</f>
        <v>6.049467327420846E-2</v>
      </c>
      <c r="I21" s="55">
        <f>IFERROR((HistoricalFS!I18-HistoricalFS!I24)/SUM(HistoricalFS!I47:I49),0)</f>
        <v>5.3080747258024162E-2</v>
      </c>
      <c r="J21" s="55">
        <f>IFERROR((HistoricalFS!J18-HistoricalFS!J24)/SUM(HistoricalFS!J47:J49),0)</f>
        <v>5.2484854136736342E-2</v>
      </c>
      <c r="K21" s="55">
        <f>IFERROR((HistoricalFS!K18-HistoricalFS!K24)/SUM(HistoricalFS!K47:K49),0)</f>
        <v>8.0759265470498318E-2</v>
      </c>
      <c r="L21" s="55">
        <f>IFERROR((HistoricalFS!L18-HistoricalFS!L24)/SUM(HistoricalFS!L47:L49),0)</f>
        <v>8.1542071152985174E-2</v>
      </c>
      <c r="M21" s="64"/>
      <c r="N21" s="55">
        <f t="shared" si="3"/>
        <v>4.6179454842438926E-2</v>
      </c>
      <c r="O21" s="55">
        <f t="shared" ref="O21:O25" si="6">IFERROR(MEDIAN(C21:L21),0)</f>
        <v>5.4895059010076311E-2</v>
      </c>
    </row>
    <row r="22" spans="2:15" x14ac:dyDescent="0.3">
      <c r="B22" t="s">
        <v>147</v>
      </c>
      <c r="C22" s="52">
        <f>IFERROR(HistoricalFS!C44,0)</f>
        <v>0</v>
      </c>
      <c r="D22" s="52">
        <f>IFERROR(HistoricalFS!D44,0)</f>
        <v>0</v>
      </c>
      <c r="E22" s="52">
        <f>IFERROR(HistoricalFS!E44,0)</f>
        <v>0</v>
      </c>
      <c r="F22" s="52">
        <f>IFERROR(HistoricalFS!F44,0)</f>
        <v>0</v>
      </c>
      <c r="G22" s="52">
        <f>IFERROR(HistoricalFS!G44,0)</f>
        <v>0</v>
      </c>
      <c r="H22" s="52">
        <f>IFERROR(HistoricalFS!H44,0)</f>
        <v>0</v>
      </c>
      <c r="I22" s="52">
        <f>IFERROR(HistoricalFS!I44,0)</f>
        <v>0</v>
      </c>
      <c r="J22" s="52">
        <f>IFERROR(HistoricalFS!J44,0)</f>
        <v>0</v>
      </c>
      <c r="K22" s="52">
        <f>IFERROR(HistoricalFS!K44,0)</f>
        <v>0.26008080854857552</v>
      </c>
      <c r="L22" s="52">
        <f>IFERROR(HistoricalFS!L44,0)</f>
        <v>0.55666910834387628</v>
      </c>
      <c r="N22" s="52">
        <f t="shared" si="3"/>
        <v>8.1674991689245177E-2</v>
      </c>
      <c r="O22" s="52">
        <f t="shared" si="6"/>
        <v>0</v>
      </c>
    </row>
    <row r="23" spans="2:15" x14ac:dyDescent="0.3">
      <c r="B23" t="s">
        <v>148</v>
      </c>
      <c r="C23" s="52">
        <f>IFERROR(HistoricalFS!C33/SUM(HistoricalFS!C47:C48),0)</f>
        <v>-0.29738734572411479</v>
      </c>
      <c r="D23" s="52">
        <f>IFERROR(HistoricalFS!D33/SUM(HistoricalFS!D47:D48),0)</f>
        <v>-1.4963808831931586E-2</v>
      </c>
      <c r="E23" s="52">
        <f>IFERROR(HistoricalFS!E33/SUM(HistoricalFS!E47:E48),0)</f>
        <v>-0.24236701731963889</v>
      </c>
      <c r="F23" s="52">
        <f>IFERROR(HistoricalFS!F33/SUM(HistoricalFS!F47:F48),0)</f>
        <v>-0.25024214020805741</v>
      </c>
      <c r="G23" s="52">
        <f>IFERROR(HistoricalFS!G33/SUM(HistoricalFS!G47:G48),0)</f>
        <v>-4.9254268369346411E-2</v>
      </c>
      <c r="H23" s="52">
        <f>IFERROR(HistoricalFS!H33/SUM(HistoricalFS!H47:H48),0)</f>
        <v>-1.5066126816908417E-2</v>
      </c>
      <c r="I23" s="52">
        <f>IFERROR(HistoricalFS!I33/SUM(HistoricalFS!I47:I48),0)</f>
        <v>-1.4699958469910126E-2</v>
      </c>
      <c r="J23" s="52">
        <f>IFERROR(HistoricalFS!J33/SUM(HistoricalFS!J47:J48),0)</f>
        <v>-6.011026340315876E-2</v>
      </c>
      <c r="K23" s="52">
        <f>IFERROR(HistoricalFS!K33/SUM(HistoricalFS!K47:K48),0)</f>
        <v>2.6696407295375934E-2</v>
      </c>
      <c r="L23" s="52">
        <f>IFERROR(HistoricalFS!L33/SUM(HistoricalFS!L47:L48),0)</f>
        <v>5.0279193999442459E-2</v>
      </c>
      <c r="N23" s="52">
        <f t="shared" si="3"/>
        <v>-8.671153278482481E-2</v>
      </c>
      <c r="O23" s="52">
        <f t="shared" si="6"/>
        <v>-3.216019759312741E-2</v>
      </c>
    </row>
    <row r="24" spans="2:15" x14ac:dyDescent="0.3">
      <c r="B24" t="s">
        <v>149</v>
      </c>
      <c r="C24" s="52">
        <f>IFERROR(C22*C23,0)</f>
        <v>0</v>
      </c>
      <c r="D24" s="52">
        <f t="shared" ref="D24:L24" si="7">IFERROR(D22*D23,0)</f>
        <v>0</v>
      </c>
      <c r="E24" s="52">
        <f t="shared" si="7"/>
        <v>0</v>
      </c>
      <c r="F24" s="52">
        <f t="shared" si="7"/>
        <v>0</v>
      </c>
      <c r="G24" s="52">
        <f t="shared" si="7"/>
        <v>0</v>
      </c>
      <c r="H24" s="52">
        <f t="shared" si="7"/>
        <v>0</v>
      </c>
      <c r="I24" s="52">
        <f t="shared" si="7"/>
        <v>0</v>
      </c>
      <c r="J24" s="52">
        <f t="shared" si="7"/>
        <v>0</v>
      </c>
      <c r="K24" s="52">
        <f t="shared" si="7"/>
        <v>6.9432231947234632E-3</v>
      </c>
      <c r="L24" s="52">
        <f t="shared" si="7"/>
        <v>2.7988874091918407E-2</v>
      </c>
      <c r="N24" s="52">
        <f t="shared" si="3"/>
        <v>3.4932097286641873E-3</v>
      </c>
      <c r="O24" s="52">
        <f t="shared" si="6"/>
        <v>0</v>
      </c>
    </row>
    <row r="25" spans="2:15" x14ac:dyDescent="0.3">
      <c r="B25" s="56" t="s">
        <v>150</v>
      </c>
      <c r="C25" s="60">
        <f>IFERROR((HistoricalFS!C18-HistoricalFS!C24)/HistoricalFS!C21,0)</f>
        <v>0.14107750455063731</v>
      </c>
      <c r="D25" s="60">
        <f>IFERROR((HistoricalFS!D18-HistoricalFS!D24)/HistoricalFS!D21,0)</f>
        <v>1.0453853834815268</v>
      </c>
      <c r="E25" s="60">
        <f>IFERROR((HistoricalFS!E18-HistoricalFS!E24)/HistoricalFS!E21,0)</f>
        <v>-1.3648882886523186E-2</v>
      </c>
      <c r="F25" s="60">
        <f>IFERROR((HistoricalFS!F18-HistoricalFS!F24)/HistoricalFS!F21,0)</f>
        <v>0.16229736211031257</v>
      </c>
      <c r="G25" s="60">
        <f>IFERROR((HistoricalFS!G18-HistoricalFS!G24)/HistoricalFS!G21,0)</f>
        <v>0.92829564749105986</v>
      </c>
      <c r="H25" s="60">
        <f>IFERROR((HistoricalFS!H18-HistoricalFS!H24)/HistoricalFS!H21,0)</f>
        <v>1.0412852615331669</v>
      </c>
      <c r="I25" s="60">
        <f>IFERROR((HistoricalFS!I18-HistoricalFS!I24)/HistoricalFS!I21,0)</f>
        <v>1.0128711434509288</v>
      </c>
      <c r="J25" s="60">
        <f>IFERROR((HistoricalFS!J18-HistoricalFS!J24)/HistoricalFS!J21,0)</f>
        <v>0.98099344641039543</v>
      </c>
      <c r="K25" s="60">
        <f>IFERROR((HistoricalFS!K18-HistoricalFS!K24)/HistoricalFS!K21,0)</f>
        <v>1.4998014339919115</v>
      </c>
      <c r="L25" s="60">
        <f>IFERROR((HistoricalFS!L18-HistoricalFS!L24)/HistoricalFS!L21,0)</f>
        <v>1.7116071656416663</v>
      </c>
      <c r="M25" s="65"/>
      <c r="N25" s="60">
        <f t="shared" si="3"/>
        <v>0.85099654657750823</v>
      </c>
      <c r="O25" s="60">
        <f t="shared" si="6"/>
        <v>0.99693229493066204</v>
      </c>
    </row>
    <row r="26" spans="2:15" x14ac:dyDescent="0.3">
      <c r="O26" s="29"/>
    </row>
    <row r="27" spans="2:15" x14ac:dyDescent="0.3">
      <c r="B27" s="54" t="s">
        <v>151</v>
      </c>
      <c r="C27" s="61">
        <f>IFERROR(HistoricalFS!C6/HistoricalFS!C59,0)</f>
        <v>8.331158339547601</v>
      </c>
      <c r="D27" s="61">
        <f>IFERROR(HistoricalFS!D6/HistoricalFS!D59,0)</f>
        <v>7.1990412617558954</v>
      </c>
      <c r="E27" s="61">
        <f>IFERROR(HistoricalFS!E6/HistoricalFS!E59,0)</f>
        <v>9.6238593295636683</v>
      </c>
      <c r="F27" s="61">
        <f>IFERROR(HistoricalFS!F6/HistoricalFS!F59,0)</f>
        <v>6.7220050120802837</v>
      </c>
      <c r="G27" s="61">
        <f>IFERROR(HistoricalFS!G6/HistoricalFS!G59,0)</f>
        <v>6.5831514494227168</v>
      </c>
      <c r="H27" s="61">
        <f>IFERROR(HistoricalFS!H6/HistoricalFS!H59,0)</f>
        <v>6.2890013230565689</v>
      </c>
      <c r="I27" s="61">
        <f>IFERROR(HistoricalFS!I6/HistoricalFS!I59,0)</f>
        <v>7.1601223464565349</v>
      </c>
      <c r="J27" s="61">
        <f>IFERROR(HistoricalFS!J6/HistoricalFS!J59,0)</f>
        <v>7.9269118186460314</v>
      </c>
      <c r="K27" s="61">
        <f>IFERROR(HistoricalFS!K6/HistoricalFS!K59,0)</f>
        <v>8.3020094059599909</v>
      </c>
      <c r="L27" s="61">
        <f>IFERROR(HistoricalFS!L6/HistoricalFS!L59,0)</f>
        <v>11.467734308502255</v>
      </c>
      <c r="M27" s="64"/>
      <c r="N27" s="61">
        <f t="shared" si="3"/>
        <v>7.9604994594991556</v>
      </c>
      <c r="O27" s="61">
        <f t="shared" ref="O27:O31" si="8">IFERROR(MEDIAN(C27:L27),0)</f>
        <v>7.5629765402009639</v>
      </c>
    </row>
    <row r="28" spans="2:15" x14ac:dyDescent="0.3">
      <c r="B28" t="s">
        <v>152</v>
      </c>
      <c r="C28" s="50">
        <f>HistoricalFS!C6/HistoricalFS!C50</f>
        <v>1.5067684860027362</v>
      </c>
      <c r="D28" s="50">
        <f>HistoricalFS!D6/HistoricalFS!D50</f>
        <v>1.3263710797959547</v>
      </c>
      <c r="E28" s="50">
        <f>HistoricalFS!E6/HistoricalFS!E50</f>
        <v>1.587929843078139</v>
      </c>
      <c r="F28" s="50">
        <f>HistoricalFS!F6/HistoricalFS!F50</f>
        <v>1.7310421975809138</v>
      </c>
      <c r="G28" s="50">
        <f>HistoricalFS!G6/HistoricalFS!G50</f>
        <v>1.6033891085828873</v>
      </c>
      <c r="H28" s="50">
        <f>HistoricalFS!H6/HistoricalFS!H50</f>
        <v>1.1039229857048003</v>
      </c>
      <c r="I28" s="50">
        <f>HistoricalFS!I6/HistoricalFS!I50</f>
        <v>1.1002834248744195</v>
      </c>
      <c r="J28" s="50">
        <f>HistoricalFS!J6/HistoricalFS!J50</f>
        <v>1.188061581896666</v>
      </c>
      <c r="K28" s="50">
        <f>HistoricalFS!K6/HistoricalFS!K50</f>
        <v>1.1592019265922475</v>
      </c>
      <c r="L28" s="50">
        <f>HistoricalFS!L6/HistoricalFS!L50</f>
        <v>1.1390128834726145</v>
      </c>
      <c r="N28" s="50">
        <f t="shared" si="3"/>
        <v>1.3445983517581379</v>
      </c>
      <c r="O28" s="50">
        <f t="shared" si="8"/>
        <v>1.2572163308463105</v>
      </c>
    </row>
    <row r="29" spans="2:15" x14ac:dyDescent="0.3">
      <c r="B29" t="s">
        <v>153</v>
      </c>
      <c r="C29" s="50">
        <f>HistoricalFS!C6/HistoricalFS!C60</f>
        <v>21.475389544196883</v>
      </c>
      <c r="D29" s="50">
        <f>HistoricalFS!D6/HistoricalFS!D60</f>
        <v>17.246986671334618</v>
      </c>
      <c r="E29" s="50">
        <f>HistoricalFS!E6/HistoricalFS!E60</f>
        <v>16.536627892648546</v>
      </c>
      <c r="F29" s="50">
        <f>HistoricalFS!F6/HistoricalFS!F60</f>
        <v>17.510964475334326</v>
      </c>
      <c r="G29" s="50">
        <f>HistoricalFS!G6/HistoricalFS!G60</f>
        <v>16.627026564327902</v>
      </c>
      <c r="H29" s="50">
        <f>HistoricalFS!H6/HistoricalFS!H60</f>
        <v>17.343531570517921</v>
      </c>
      <c r="I29" s="50">
        <f>HistoricalFS!I6/HistoricalFS!I60</f>
        <v>10.118271921200892</v>
      </c>
      <c r="J29" s="50">
        <f>HistoricalFS!J6/HistoricalFS!J60</f>
        <v>13.976859554437366</v>
      </c>
      <c r="K29" s="50">
        <f>HistoricalFS!K6/HistoricalFS!K60</f>
        <v>13.903629941872962</v>
      </c>
      <c r="L29" s="50">
        <f>HistoricalFS!L6/HistoricalFS!L60</f>
        <v>14.322138666876649</v>
      </c>
      <c r="N29" s="50">
        <f t="shared" si="3"/>
        <v>15.906142680274806</v>
      </c>
      <c r="O29" s="50">
        <f t="shared" si="8"/>
        <v>16.581827228488223</v>
      </c>
    </row>
    <row r="30" spans="2:15" x14ac:dyDescent="0.3">
      <c r="B30" t="s">
        <v>154</v>
      </c>
      <c r="C30" s="50">
        <f>IFERROR(HistoricalFS!C6/HistoricalFS!C53,0)</f>
        <v>0.80997766775819657</v>
      </c>
      <c r="D30" s="50">
        <f>IFERROR(HistoricalFS!D6/HistoricalFS!D53,0)</f>
        <v>0.59207456455968577</v>
      </c>
      <c r="E30" s="50">
        <f>IFERROR(HistoricalFS!E6/HistoricalFS!E53,0)</f>
        <v>0.60104160088641545</v>
      </c>
      <c r="F30" s="50">
        <f>IFERROR(HistoricalFS!F6/HistoricalFS!F53,0)</f>
        <v>0.67444157969921603</v>
      </c>
      <c r="G30" s="50">
        <f>IFERROR(HistoricalFS!G6/HistoricalFS!G53,0)</f>
        <v>0.61125645004149676</v>
      </c>
      <c r="H30" s="50">
        <f>IFERROR(HistoricalFS!H6/HistoricalFS!H53,0)</f>
        <v>0.62675053158205918</v>
      </c>
      <c r="I30" s="50">
        <f>IFERROR(HistoricalFS!I6/HistoricalFS!I53,0)</f>
        <v>0.74605484911509845</v>
      </c>
      <c r="J30" s="50">
        <f>IFERROR(HistoricalFS!J6/HistoricalFS!J53,0)</f>
        <v>0.89250301149892153</v>
      </c>
      <c r="K30" s="50">
        <f>IFERROR(HistoricalFS!K6/HistoricalFS!K53,0)</f>
        <v>0.9142880863972328</v>
      </c>
      <c r="L30" s="50">
        <f>IFERROR(HistoricalFS!L6/HistoricalFS!L53,0)</f>
        <v>0.83545411430743421</v>
      </c>
      <c r="N30" s="50">
        <f t="shared" si="3"/>
        <v>0.7303842455845756</v>
      </c>
      <c r="O30" s="50">
        <f t="shared" si="8"/>
        <v>0.71024821440715724</v>
      </c>
    </row>
    <row r="31" spans="2:15" x14ac:dyDescent="0.3">
      <c r="B31" s="56" t="s">
        <v>155</v>
      </c>
      <c r="C31" s="60">
        <f>IFERROR(HistoricalFS!C6/SUM(HistoricalFS!C47,HistoricalFS!C48),0)</f>
        <v>2.5353164772404924</v>
      </c>
      <c r="D31" s="60">
        <f>IFERROR(HistoricalFS!D6/SUM(HistoricalFS!D47,HistoricalFS!D48),0)</f>
        <v>2.0876677601583107</v>
      </c>
      <c r="E31" s="60">
        <f>IFERROR(HistoricalFS!E6/SUM(HistoricalFS!E47,HistoricalFS!E48),0)</f>
        <v>1.6366138044912526</v>
      </c>
      <c r="F31" s="60">
        <f>IFERROR(HistoricalFS!F6/SUM(HistoricalFS!F47,HistoricalFS!F48),0)</f>
        <v>1.6323533187548451</v>
      </c>
      <c r="G31" s="60">
        <f>IFERROR(HistoricalFS!G6/SUM(HistoricalFS!G47,HistoricalFS!G48),0)</f>
        <v>1.4891311569752048</v>
      </c>
      <c r="H31" s="60">
        <f>IFERROR(HistoricalFS!H6/SUM(HistoricalFS!H47,HistoricalFS!H48),0)</f>
        <v>1.4650537176791238</v>
      </c>
      <c r="I31" s="60">
        <f>IFERROR(HistoricalFS!I6/SUM(HistoricalFS!I47,HistoricalFS!I48),0)</f>
        <v>1.907874051536524</v>
      </c>
      <c r="J31" s="60">
        <f>IFERROR(HistoricalFS!J6/SUM(HistoricalFS!J47,HistoricalFS!J48),0)</f>
        <v>1.914345254161278</v>
      </c>
      <c r="K31" s="60">
        <f>IFERROR(HistoricalFS!K6/SUM(HistoricalFS!K47,HistoricalFS!K48),0)</f>
        <v>1.8991917550422204</v>
      </c>
      <c r="L31" s="60">
        <f>IFERROR(HistoricalFS!L6/SUM(HistoricalFS!L47,HistoricalFS!L48),0)</f>
        <v>1.8269256685212638</v>
      </c>
      <c r="M31" s="65"/>
      <c r="N31" s="60">
        <f t="shared" si="3"/>
        <v>1.8394472964560513</v>
      </c>
      <c r="O31" s="60">
        <f t="shared" si="8"/>
        <v>1.8630587117817421</v>
      </c>
    </row>
    <row r="32" spans="2:15" x14ac:dyDescent="0.3">
      <c r="C32" s="50"/>
      <c r="D32" s="50"/>
      <c r="E32" s="50"/>
      <c r="F32" s="50"/>
      <c r="G32" s="50"/>
      <c r="H32" s="50"/>
      <c r="I32" s="50"/>
      <c r="J32" s="50"/>
      <c r="K32" s="50"/>
      <c r="L32" s="50"/>
      <c r="O32" s="29"/>
    </row>
    <row r="33" spans="2:15" x14ac:dyDescent="0.3">
      <c r="B33" s="51"/>
      <c r="O33" s="29"/>
    </row>
    <row r="34" spans="2:15" x14ac:dyDescent="0.3">
      <c r="B34" s="54" t="s">
        <v>156</v>
      </c>
      <c r="C34" s="62">
        <f>IFERROR((365/C27),0)</f>
        <v>43.811434751799503</v>
      </c>
      <c r="D34" s="62">
        <f t="shared" ref="D34:L34" si="9">IFERROR((365/D27),0)</f>
        <v>50.701195718799646</v>
      </c>
      <c r="E34" s="62">
        <f t="shared" si="9"/>
        <v>37.926572646251323</v>
      </c>
      <c r="F34" s="62">
        <f t="shared" si="9"/>
        <v>54.2992751930487</v>
      </c>
      <c r="G34" s="62">
        <f t="shared" si="9"/>
        <v>55.444569793697703</v>
      </c>
      <c r="H34" s="62">
        <f t="shared" si="9"/>
        <v>58.037831644564413</v>
      </c>
      <c r="I34" s="62">
        <f t="shared" si="9"/>
        <v>50.976782565822276</v>
      </c>
      <c r="J34" s="62">
        <f t="shared" si="9"/>
        <v>46.045674324448889</v>
      </c>
      <c r="K34" s="62">
        <f t="shared" si="9"/>
        <v>43.965259752412166</v>
      </c>
      <c r="L34" s="62">
        <f t="shared" si="9"/>
        <v>31.828431857667521</v>
      </c>
      <c r="M34" s="64"/>
      <c r="N34" s="62">
        <f t="shared" ref="N34:N41" si="10">IFERROR(AVERAGE(C34:L34),0)</f>
        <v>47.303702824851214</v>
      </c>
      <c r="O34" s="62">
        <f t="shared" ref="O34:O37" si="11">IFERROR(MEDIAN(C34:L34),0)</f>
        <v>48.373435021624267</v>
      </c>
    </row>
    <row r="35" spans="2:15" x14ac:dyDescent="0.3">
      <c r="B35" t="s">
        <v>157</v>
      </c>
      <c r="C35" s="53">
        <f>IFERROR(365/C28,0)</f>
        <v>242.24026676340853</v>
      </c>
      <c r="D35" s="53">
        <f t="shared" ref="D35:L35" si="12">IFERROR(365/D28,0)</f>
        <v>275.18694093974864</v>
      </c>
      <c r="E35" s="53">
        <f t="shared" si="12"/>
        <v>229.85902153741375</v>
      </c>
      <c r="F35" s="53">
        <f t="shared" si="12"/>
        <v>210.85563397014698</v>
      </c>
      <c r="G35" s="53">
        <f t="shared" si="12"/>
        <v>227.64280862715572</v>
      </c>
      <c r="H35" s="53">
        <f t="shared" si="12"/>
        <v>330.63900718306496</v>
      </c>
      <c r="I35" s="53">
        <f t="shared" si="12"/>
        <v>331.73270790810938</v>
      </c>
      <c r="J35" s="53">
        <f t="shared" si="12"/>
        <v>307.22313183235866</v>
      </c>
      <c r="K35" s="53">
        <f t="shared" si="12"/>
        <v>314.87180242445351</v>
      </c>
      <c r="L35" s="53">
        <f t="shared" si="12"/>
        <v>320.45291611381123</v>
      </c>
      <c r="N35" s="53">
        <f t="shared" si="10"/>
        <v>279.07042372996716</v>
      </c>
      <c r="O35" s="53">
        <f t="shared" si="11"/>
        <v>291.20503638605362</v>
      </c>
    </row>
    <row r="36" spans="2:15" x14ac:dyDescent="0.3">
      <c r="B36" t="s">
        <v>158</v>
      </c>
      <c r="C36" s="53">
        <f>IFERROR(365/C29,0)</f>
        <v>16.996199265620817</v>
      </c>
      <c r="D36" s="53">
        <f t="shared" ref="D36:L36" si="13">IFERROR(365/D29,0)</f>
        <v>21.163117184212176</v>
      </c>
      <c r="E36" s="53">
        <f t="shared" si="13"/>
        <v>22.07221462377241</v>
      </c>
      <c r="F36" s="53">
        <f t="shared" si="13"/>
        <v>20.844083175094859</v>
      </c>
      <c r="G36" s="53">
        <f t="shared" si="13"/>
        <v>21.952211274088022</v>
      </c>
      <c r="H36" s="53">
        <f t="shared" si="13"/>
        <v>21.045310092464646</v>
      </c>
      <c r="I36" s="53">
        <f t="shared" si="13"/>
        <v>36.073353517532254</v>
      </c>
      <c r="J36" s="53">
        <f t="shared" si="13"/>
        <v>26.114593094277748</v>
      </c>
      <c r="K36" s="53">
        <f t="shared" si="13"/>
        <v>26.252137141592446</v>
      </c>
      <c r="L36" s="53">
        <f t="shared" si="13"/>
        <v>25.485020672516548</v>
      </c>
      <c r="N36" s="53">
        <f t="shared" si="10"/>
        <v>23.799824004117191</v>
      </c>
      <c r="O36" s="53">
        <f t="shared" si="11"/>
        <v>22.012212948930216</v>
      </c>
    </row>
    <row r="37" spans="2:15" x14ac:dyDescent="0.3">
      <c r="B37" s="56" t="s">
        <v>164</v>
      </c>
      <c r="C37" s="63">
        <f>SUM(C34,C36)-C35</f>
        <v>-181.4326327459882</v>
      </c>
      <c r="D37" s="63">
        <f t="shared" ref="D37:L37" si="14">SUM(D34,D36)-D35</f>
        <v>-203.32262803673683</v>
      </c>
      <c r="E37" s="63">
        <f t="shared" si="14"/>
        <v>-169.86023426739001</v>
      </c>
      <c r="F37" s="63">
        <f t="shared" si="14"/>
        <v>-135.71227560200342</v>
      </c>
      <c r="G37" s="63">
        <f t="shared" si="14"/>
        <v>-150.24602755936999</v>
      </c>
      <c r="H37" s="63">
        <f t="shared" si="14"/>
        <v>-251.55586544603591</v>
      </c>
      <c r="I37" s="63">
        <f t="shared" si="14"/>
        <v>-244.68257182475486</v>
      </c>
      <c r="J37" s="63">
        <f t="shared" si="14"/>
        <v>-235.06286441363204</v>
      </c>
      <c r="K37" s="63">
        <f t="shared" si="14"/>
        <v>-244.65440553044891</v>
      </c>
      <c r="L37" s="63">
        <f t="shared" si="14"/>
        <v>-263.13946358362716</v>
      </c>
      <c r="M37" s="65"/>
      <c r="N37" s="63">
        <f t="shared" si="10"/>
        <v>-207.96689690099873</v>
      </c>
      <c r="O37" s="63">
        <f t="shared" si="11"/>
        <v>-219.19274622518444</v>
      </c>
    </row>
    <row r="38" spans="2:15" x14ac:dyDescent="0.3">
      <c r="O38" s="29"/>
    </row>
    <row r="39" spans="2:15" x14ac:dyDescent="0.3">
      <c r="B39" s="54" t="s">
        <v>159</v>
      </c>
      <c r="C39" s="55">
        <f>IFERROR(HistoricalFS!C70/HistoricalFS!C6,0)</f>
        <v>1.2849784534638897</v>
      </c>
      <c r="D39" s="55">
        <f>IFERROR(HistoricalFS!D70/HistoricalFS!D6,0)</f>
        <v>1.0946679285867305</v>
      </c>
      <c r="E39" s="55">
        <f>IFERROR(HistoricalFS!E70/HistoricalFS!E6,0)</f>
        <v>0.88886661721361215</v>
      </c>
      <c r="F39" s="55">
        <f>IFERROR(HistoricalFS!F70/HistoricalFS!F6,0)</f>
        <v>0.63219812148565013</v>
      </c>
      <c r="G39" s="55">
        <f>IFERROR(HistoricalFS!G70/HistoricalFS!G6,0)</f>
        <v>0.91407886431974883</v>
      </c>
      <c r="H39" s="55">
        <f>IFERROR(HistoricalFS!H70/HistoricalFS!H6,0)</f>
        <v>0.88677598689551596</v>
      </c>
      <c r="I39" s="55">
        <f>IFERROR(HistoricalFS!I70/HistoricalFS!I6,0)</f>
        <v>0.33358884726082766</v>
      </c>
      <c r="J39" s="55">
        <f>IFERROR(HistoricalFS!J70/HistoricalFS!J6,0)</f>
        <v>0.64214481533714596</v>
      </c>
      <c r="K39" s="55">
        <f>IFERROR(HistoricalFS!K70/HistoricalFS!K6,0)</f>
        <v>1.1052272701382775</v>
      </c>
      <c r="L39" s="55">
        <f>IFERROR(HistoricalFS!L70/HistoricalFS!L6,0)</f>
        <v>0.96370947050501055</v>
      </c>
      <c r="M39" s="64"/>
      <c r="N39" s="55">
        <f t="shared" si="10"/>
        <v>0.87462363752064076</v>
      </c>
      <c r="O39" s="55">
        <f t="shared" ref="O39:O41" si="15">IFERROR(MEDIAN(C39:L39),0)</f>
        <v>0.90147274076668049</v>
      </c>
    </row>
    <row r="40" spans="2:15" x14ac:dyDescent="0.3">
      <c r="B40" t="s">
        <v>160</v>
      </c>
      <c r="C40" s="52">
        <f>IFERROR(HistoricalFS!C70/HistoricalFS!C64,0)</f>
        <v>0.54098527031963195</v>
      </c>
      <c r="D40" s="52">
        <f>IFERROR(HistoricalFS!D70/HistoricalFS!D64,0)</f>
        <v>0.36459639987125325</v>
      </c>
      <c r="E40" s="52">
        <f>IFERROR(HistoricalFS!E70/HistoricalFS!E64,0)</f>
        <v>0.29132855792643464</v>
      </c>
      <c r="F40" s="52">
        <f>IFERROR(HistoricalFS!F70/HistoricalFS!F64,0)</f>
        <v>0.22469343469233566</v>
      </c>
      <c r="G40" s="52">
        <f>IFERROR(HistoricalFS!G70/HistoricalFS!G64,0)</f>
        <v>0.29699764401931394</v>
      </c>
      <c r="H40" s="52">
        <f>IFERROR(HistoricalFS!H70/HistoricalFS!H64,0)</f>
        <v>0.29395932323239288</v>
      </c>
      <c r="I40" s="52">
        <f>IFERROR(HistoricalFS!I70/HistoricalFS!I64,0)</f>
        <v>0.12690209923608167</v>
      </c>
      <c r="J40" s="52">
        <f>IFERROR(HistoricalFS!J70/HistoricalFS!J64,0)</f>
        <v>0.27626132996669533</v>
      </c>
      <c r="K40" s="52">
        <f>IFERROR(HistoricalFS!K70/HistoricalFS!K64,0)</f>
        <v>0.48840597636608407</v>
      </c>
      <c r="L40" s="52">
        <f>IFERROR(HistoricalFS!L70/HistoricalFS!L64,0)</f>
        <v>0.40399940330347078</v>
      </c>
      <c r="N40" s="52">
        <f t="shared" si="10"/>
        <v>0.33081294389336946</v>
      </c>
      <c r="O40" s="52">
        <f t="shared" si="15"/>
        <v>0.29547848362585338</v>
      </c>
    </row>
    <row r="41" spans="2:15" x14ac:dyDescent="0.3">
      <c r="B41" s="56" t="s">
        <v>161</v>
      </c>
      <c r="C41" s="57">
        <f>IFERROR(HistoricalFS!C70/HistoricalFS!C49,0)</f>
        <v>0.97557054194244897</v>
      </c>
      <c r="D41" s="57">
        <f>IFERROR(HistoricalFS!D70/HistoricalFS!D49,0)</f>
        <v>0.61864173628778285</v>
      </c>
      <c r="E41" s="57">
        <f>IFERROR(HistoricalFS!E70/HistoricalFS!E49,0)</f>
        <v>0.49100212310379826</v>
      </c>
      <c r="F41" s="57">
        <f>IFERROR(HistoricalFS!F70/HistoricalFS!F49,0)</f>
        <v>0.38945149923597144</v>
      </c>
      <c r="G41" s="57">
        <f>IFERROR(HistoricalFS!G70/HistoricalFS!G49,0)</f>
        <v>0.51280158425297206</v>
      </c>
      <c r="H41" s="57">
        <f>IFERROR(HistoricalFS!H70/HistoricalFS!H49,0)</f>
        <v>0.62089023388951992</v>
      </c>
      <c r="I41" s="57">
        <f>IFERROR(HistoricalFS!I70/HistoricalFS!I49,0)</f>
        <v>0.27898811449216254</v>
      </c>
      <c r="J41" s="57">
        <f>IFERROR(HistoricalFS!J70/HistoricalFS!J49,0)</f>
        <v>0.66866976550838009</v>
      </c>
      <c r="K41" s="57">
        <f>IFERROR(HistoricalFS!K70/HistoricalFS!K49,0)</f>
        <v>1.2649598757297758</v>
      </c>
      <c r="L41" s="57">
        <f>IFERROR(HistoricalFS!L70/HistoricalFS!L49,0)</f>
        <v>1.0037572098024681</v>
      </c>
      <c r="M41" s="65"/>
      <c r="N41" s="57">
        <f t="shared" si="10"/>
        <v>0.68247326842452805</v>
      </c>
      <c r="O41" s="57">
        <f t="shared" si="15"/>
        <v>0.61976598508865144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42EB39C1-4A97-4CE5-B49A-F8986744B4D3}">
          <x14:colorSeries theme="8" tint="-0.499984740745262"/>
          <x14:colorNegative theme="9"/>
          <x14:colorAxis rgb="FF000000"/>
          <x14:colorMarkers theme="4" tint="0.7999816888943144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</x14:sparklines>
        </x14:sparklineGroup>
        <x14:sparklineGroup displayEmptyCellsAs="gap" markers="1" high="1" xr2:uid="{37A9D1FB-8A2D-41B9-B2ED-D1DF560BD40D}">
          <x14:colorSeries theme="8" tint="-0.499984740745262"/>
          <x14:colorNegative theme="9"/>
          <x14:colorAxis rgb="FF000000"/>
          <x14:colorMarkers theme="4" tint="0.7999816888943144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6C0B-2BC7-4904-8E83-0FE3A430AD0C}">
  <sheetPr>
    <tabColor rgb="FF002060"/>
  </sheetPr>
  <dimension ref="B2:O21"/>
  <sheetViews>
    <sheetView showGridLines="0" tabSelected="1" workbookViewId="0">
      <selection activeCell="D21" sqref="D21"/>
    </sheetView>
  </sheetViews>
  <sheetFormatPr defaultRowHeight="14.4" x14ac:dyDescent="0.3"/>
  <cols>
    <col min="1" max="1" width="1.88671875" customWidth="1"/>
    <col min="2" max="2" width="12.6640625" customWidth="1"/>
    <col min="3" max="3" width="9.88671875" bestFit="1" customWidth="1"/>
    <col min="4" max="4" width="12.6640625" customWidth="1"/>
    <col min="5" max="5" width="12.6640625" bestFit="1" customWidth="1"/>
    <col min="6" max="6" width="2.6640625" customWidth="1"/>
    <col min="7" max="10" width="12.6640625" customWidth="1"/>
    <col min="11" max="11" width="2.6640625" customWidth="1"/>
    <col min="12" max="15" width="12.6640625" customWidth="1"/>
  </cols>
  <sheetData>
    <row r="2" spans="2:15" x14ac:dyDescent="0.3">
      <c r="B2" s="81" t="str">
        <f>'Data Sheet'!$B$1&amp;" - "&amp;'Data Sheet'!$A$17&amp;" Forecasting"</f>
        <v>TATA POWER COMPANY LTD - Sales Forecasting</v>
      </c>
      <c r="C2" s="81"/>
      <c r="D2" s="81"/>
      <c r="E2" s="81"/>
      <c r="G2" s="81" t="str">
        <f>'Data Sheet'!$B$1&amp;" - "&amp;HistoricalFS!B18&amp;" Forecasting"</f>
        <v>TATA POWER COMPANY LTD - EBIDTA Forecasting</v>
      </c>
      <c r="H2" s="81"/>
      <c r="I2" s="81"/>
      <c r="J2" s="81"/>
      <c r="L2" s="81" t="str">
        <f>'Data Sheet'!$B$1&amp;" - "&amp;HistoricalFS!B38&amp;" Forecasting"</f>
        <v>TATA POWER COMPANY LTD - Earning per Share Forecasting</v>
      </c>
      <c r="M2" s="81"/>
      <c r="N2" s="81"/>
      <c r="O2" s="81"/>
    </row>
    <row r="3" spans="2:15" x14ac:dyDescent="0.3">
      <c r="B3" s="67" t="s">
        <v>168</v>
      </c>
      <c r="C3" s="68" t="s">
        <v>169</v>
      </c>
      <c r="D3" s="68" t="s">
        <v>6</v>
      </c>
      <c r="E3" s="68" t="s">
        <v>22</v>
      </c>
      <c r="G3" s="67" t="s">
        <v>168</v>
      </c>
      <c r="H3" s="68" t="s">
        <v>169</v>
      </c>
      <c r="I3" s="68" t="s">
        <v>6</v>
      </c>
      <c r="J3" s="68" t="s">
        <v>22</v>
      </c>
      <c r="L3" s="67" t="s">
        <v>168</v>
      </c>
      <c r="M3" s="68" t="s">
        <v>169</v>
      </c>
      <c r="N3" s="68" t="s">
        <v>6</v>
      </c>
      <c r="O3" s="68" t="s">
        <v>22</v>
      </c>
    </row>
    <row r="4" spans="2:15" x14ac:dyDescent="0.3">
      <c r="B4" s="66">
        <v>1</v>
      </c>
      <c r="C4" s="71">
        <f>'Data Sheet'!$B$16</f>
        <v>42460</v>
      </c>
      <c r="D4" s="84">
        <v>29494.3</v>
      </c>
      <c r="G4" s="66">
        <v>1</v>
      </c>
      <c r="H4" s="71">
        <f>'Data Sheet'!$B$16</f>
        <v>42460</v>
      </c>
      <c r="I4" s="74">
        <f t="array" ref="I4:I13">TRANSPOSE(HistoricalFS!C18:L18)</f>
        <v>2105.2299999999977</v>
      </c>
      <c r="L4" s="66">
        <v>1</v>
      </c>
      <c r="M4" s="71">
        <f>'Data Sheet'!$B$16</f>
        <v>42460</v>
      </c>
      <c r="N4" s="74">
        <f t="array" ref="N4:N13">TRANSPOSE(HistoricalFS!C38:L38)</f>
        <v>-12.791614286770695</v>
      </c>
    </row>
    <row r="5" spans="2:15" x14ac:dyDescent="0.3">
      <c r="B5" s="66">
        <f>B4+1</f>
        <v>2</v>
      </c>
      <c r="C5" s="71">
        <f>C4+365</f>
        <v>42825</v>
      </c>
      <c r="D5" s="84">
        <v>27587.59</v>
      </c>
      <c r="E5" s="78">
        <f>IFERROR(D5/D4-1,0)</f>
        <v>-6.4646728350901683E-2</v>
      </c>
      <c r="G5" s="66">
        <f>G4+1</f>
        <v>2</v>
      </c>
      <c r="H5" s="71">
        <f>H4+365</f>
        <v>42825</v>
      </c>
      <c r="I5" s="74">
        <v>5473.2699999999986</v>
      </c>
      <c r="J5" s="78">
        <f>IFERROR(I5/I4-1,0)</f>
        <v>1.5998441975461133</v>
      </c>
      <c r="L5" s="66">
        <f>L4+1</f>
        <v>2</v>
      </c>
      <c r="M5" s="71">
        <f>M4+365</f>
        <v>42825</v>
      </c>
      <c r="N5" s="74">
        <v>-0.73107068914522899</v>
      </c>
      <c r="O5" s="78">
        <f t="shared" ref="O5:O18" si="0">IFERROR(N5/N4-1,0)</f>
        <v>-0.9428476599782003</v>
      </c>
    </row>
    <row r="6" spans="2:15" x14ac:dyDescent="0.3">
      <c r="B6" s="66">
        <f t="shared" ref="B6:B18" si="1">B5+1</f>
        <v>3</v>
      </c>
      <c r="C6" s="71">
        <f t="shared" ref="C6:C18" si="2">C5+365</f>
        <v>43190</v>
      </c>
      <c r="D6" s="84">
        <v>26840.27</v>
      </c>
      <c r="E6" s="78">
        <f t="shared" ref="E6:E18" si="3">IFERROR(D6/D5-1,0)</f>
        <v>-2.7088991825672371E-2</v>
      </c>
      <c r="G6" s="66">
        <f t="shared" ref="G6:G18" si="4">G5+1</f>
        <v>3</v>
      </c>
      <c r="H6" s="71">
        <f t="shared" ref="H6:H18" si="5">H5+365</f>
        <v>43190</v>
      </c>
      <c r="I6" s="74">
        <v>2294.8300000000008</v>
      </c>
      <c r="J6" s="78">
        <f t="shared" ref="J6:J18" si="6">IFERROR(I6/I5-1,0)</f>
        <v>-0.58072048336734694</v>
      </c>
      <c r="L6" s="66">
        <f t="shared" ref="L6" si="7">L5+1</f>
        <v>3</v>
      </c>
      <c r="M6" s="71">
        <f t="shared" ref="M6:M18" si="8">M5+365</f>
        <v>43190</v>
      </c>
      <c r="N6" s="74">
        <v>-14.695319432120668</v>
      </c>
      <c r="O6" s="78">
        <f t="shared" si="0"/>
        <v>19.101092343481174</v>
      </c>
    </row>
    <row r="7" spans="2:15" x14ac:dyDescent="0.3">
      <c r="B7" s="66">
        <f t="shared" si="1"/>
        <v>4</v>
      </c>
      <c r="C7" s="71">
        <f t="shared" si="2"/>
        <v>43555</v>
      </c>
      <c r="D7" s="84">
        <v>29881.06</v>
      </c>
      <c r="E7" s="78">
        <f t="shared" si="3"/>
        <v>0.1132920794015857</v>
      </c>
      <c r="G7" s="66">
        <f t="shared" si="4"/>
        <v>4</v>
      </c>
      <c r="H7" s="71">
        <f t="shared" si="5"/>
        <v>43555</v>
      </c>
      <c r="I7" s="74">
        <v>3069.9100000000035</v>
      </c>
      <c r="J7" s="78">
        <f t="shared" si="6"/>
        <v>0.33775050875228341</v>
      </c>
      <c r="L7" s="66">
        <f t="shared" ref="L7" si="9">L6+1</f>
        <v>4</v>
      </c>
      <c r="M7" s="71">
        <f t="shared" si="8"/>
        <v>43555</v>
      </c>
      <c r="N7" s="74">
        <v>-16.935854776693272</v>
      </c>
      <c r="O7" s="78">
        <f t="shared" si="0"/>
        <v>0.15246591643835239</v>
      </c>
    </row>
    <row r="8" spans="2:15" x14ac:dyDescent="0.3">
      <c r="B8" s="66">
        <f t="shared" si="1"/>
        <v>5</v>
      </c>
      <c r="C8" s="71">
        <f t="shared" si="2"/>
        <v>43920</v>
      </c>
      <c r="D8" s="84">
        <v>29136.37</v>
      </c>
      <c r="E8" s="78">
        <f t="shared" si="3"/>
        <v>-2.4921806656122758E-2</v>
      </c>
      <c r="G8" s="66">
        <f t="shared" si="4"/>
        <v>5</v>
      </c>
      <c r="H8" s="71">
        <f t="shared" si="5"/>
        <v>43920</v>
      </c>
      <c r="I8" s="74">
        <v>6805.07</v>
      </c>
      <c r="J8" s="78">
        <f t="shared" si="6"/>
        <v>1.2167001638484489</v>
      </c>
      <c r="L8" s="66">
        <f t="shared" ref="L8" si="10">L7+1</f>
        <v>5</v>
      </c>
      <c r="M8" s="71">
        <f t="shared" si="8"/>
        <v>43920</v>
      </c>
      <c r="N8" s="74">
        <v>-3.5629621413782879</v>
      </c>
      <c r="O8" s="78">
        <f t="shared" si="0"/>
        <v>-0.78962017634435833</v>
      </c>
    </row>
    <row r="9" spans="2:15" x14ac:dyDescent="0.3">
      <c r="B9" s="66">
        <f t="shared" si="1"/>
        <v>6</v>
      </c>
      <c r="C9" s="71">
        <f t="shared" si="2"/>
        <v>44285</v>
      </c>
      <c r="D9" s="84">
        <v>32703.31</v>
      </c>
      <c r="E9" s="78">
        <f t="shared" si="3"/>
        <v>0.12242225095301862</v>
      </c>
      <c r="G9" s="66">
        <f t="shared" si="4"/>
        <v>6</v>
      </c>
      <c r="H9" s="71">
        <f t="shared" si="5"/>
        <v>44285</v>
      </c>
      <c r="I9" s="74">
        <v>6920.8999999999978</v>
      </c>
      <c r="J9" s="78">
        <f t="shared" si="6"/>
        <v>1.7021132773064496E-2</v>
      </c>
      <c r="L9" s="66">
        <f t="shared" ref="L9" si="11">L8+1</f>
        <v>6</v>
      </c>
      <c r="M9" s="71">
        <f t="shared" si="8"/>
        <v>44285</v>
      </c>
      <c r="N9" s="74">
        <v>-1.0525146308640883</v>
      </c>
      <c r="O9" s="78">
        <f t="shared" si="0"/>
        <v>-0.7045956176068332</v>
      </c>
    </row>
    <row r="10" spans="2:15" x14ac:dyDescent="0.3">
      <c r="B10" s="66">
        <f t="shared" si="1"/>
        <v>7</v>
      </c>
      <c r="C10" s="71">
        <f t="shared" si="2"/>
        <v>44650</v>
      </c>
      <c r="D10" s="84">
        <v>42815.67</v>
      </c>
      <c r="E10" s="78">
        <f t="shared" si="3"/>
        <v>0.30921518341721366</v>
      </c>
      <c r="G10" s="66">
        <f t="shared" si="4"/>
        <v>7</v>
      </c>
      <c r="H10" s="71">
        <f t="shared" si="5"/>
        <v>44650</v>
      </c>
      <c r="I10" s="74">
        <v>7030.8900000000031</v>
      </c>
      <c r="J10" s="78">
        <f t="shared" si="6"/>
        <v>1.5892441734457252E-2</v>
      </c>
      <c r="L10" s="66">
        <f t="shared" ref="L10" si="12">L9+1</f>
        <v>7</v>
      </c>
      <c r="M10" s="71">
        <f t="shared" si="8"/>
        <v>44650</v>
      </c>
      <c r="N10" s="74">
        <v>-1.0324226207241771</v>
      </c>
      <c r="O10" s="78">
        <f t="shared" si="0"/>
        <v>-1.9089530492717333E-2</v>
      </c>
    </row>
    <row r="11" spans="2:15" x14ac:dyDescent="0.3">
      <c r="B11" s="66">
        <f t="shared" si="1"/>
        <v>8</v>
      </c>
      <c r="C11" s="71">
        <f t="shared" si="2"/>
        <v>45015</v>
      </c>
      <c r="D11" s="84">
        <v>55109.08</v>
      </c>
      <c r="E11" s="78">
        <f t="shared" si="3"/>
        <v>0.28712408330875139</v>
      </c>
      <c r="G11" s="66">
        <f t="shared" si="4"/>
        <v>8</v>
      </c>
      <c r="H11" s="71">
        <f t="shared" si="5"/>
        <v>45015</v>
      </c>
      <c r="I11" s="74">
        <v>7727.7600000000048</v>
      </c>
      <c r="J11" s="78">
        <f t="shared" si="6"/>
        <v>9.9115474712305529E-2</v>
      </c>
      <c r="L11" s="66">
        <f t="shared" ref="L11" si="13">L10+1</f>
        <v>8</v>
      </c>
      <c r="M11" s="71">
        <f t="shared" si="8"/>
        <v>45015</v>
      </c>
      <c r="N11" s="74">
        <v>-5.4155165399179879</v>
      </c>
      <c r="O11" s="78">
        <f t="shared" si="0"/>
        <v>4.2454454515141835</v>
      </c>
    </row>
    <row r="12" spans="2:15" x14ac:dyDescent="0.3">
      <c r="B12" s="66">
        <f t="shared" si="1"/>
        <v>9</v>
      </c>
      <c r="C12" s="71">
        <f t="shared" si="2"/>
        <v>45380</v>
      </c>
      <c r="D12" s="84">
        <v>61448.9</v>
      </c>
      <c r="E12" s="78">
        <f t="shared" si="3"/>
        <v>0.11504129628003223</v>
      </c>
      <c r="G12" s="66">
        <f t="shared" si="4"/>
        <v>9</v>
      </c>
      <c r="H12" s="71">
        <f t="shared" si="5"/>
        <v>45380</v>
      </c>
      <c r="I12" s="74">
        <v>10735.280000000004</v>
      </c>
      <c r="J12" s="78">
        <f t="shared" si="6"/>
        <v>0.38918392910752897</v>
      </c>
      <c r="L12" s="66">
        <f t="shared" ref="L12" si="14">L11+1</f>
        <v>9</v>
      </c>
      <c r="M12" s="71">
        <f t="shared" si="8"/>
        <v>45380</v>
      </c>
      <c r="N12" s="74">
        <v>2.7032516508622169</v>
      </c>
      <c r="O12" s="78">
        <f t="shared" si="0"/>
        <v>-1.4991678320870117</v>
      </c>
    </row>
    <row r="13" spans="2:15" x14ac:dyDescent="0.3">
      <c r="B13" s="66">
        <f t="shared" si="1"/>
        <v>10</v>
      </c>
      <c r="C13" s="71">
        <f t="shared" si="2"/>
        <v>45745</v>
      </c>
      <c r="D13" s="84">
        <v>65478.239999999998</v>
      </c>
      <c r="E13" s="78">
        <f t="shared" si="3"/>
        <v>6.5572207150982331E-2</v>
      </c>
      <c r="G13" s="66">
        <f t="shared" si="4"/>
        <v>10</v>
      </c>
      <c r="H13" s="71">
        <f t="shared" si="5"/>
        <v>45745</v>
      </c>
      <c r="I13" s="74">
        <v>12165.589999999997</v>
      </c>
      <c r="J13" s="78">
        <f t="shared" si="6"/>
        <v>0.13323453137691721</v>
      </c>
      <c r="L13" s="66">
        <f t="shared" ref="L13" si="15">L12+1</f>
        <v>10</v>
      </c>
      <c r="M13" s="71">
        <f t="shared" si="8"/>
        <v>45745</v>
      </c>
      <c r="N13" s="74">
        <v>5.639658248051818</v>
      </c>
      <c r="O13" s="78">
        <f t="shared" si="0"/>
        <v>1.0862498118712027</v>
      </c>
    </row>
    <row r="14" spans="2:15" x14ac:dyDescent="0.3">
      <c r="B14" s="75">
        <f t="shared" si="1"/>
        <v>11</v>
      </c>
      <c r="C14" s="76">
        <f t="shared" si="2"/>
        <v>46110</v>
      </c>
      <c r="D14" s="77">
        <f t="shared" ref="D13:D19" si="16">IFERROR(FORECAST(B14,$D$4:$D$13,$B$4:$B$13),0)</f>
        <v>64869.460666666666</v>
      </c>
      <c r="E14" s="79">
        <f t="shared" si="3"/>
        <v>-9.2974297008187046E-3</v>
      </c>
      <c r="G14" s="75">
        <f t="shared" si="4"/>
        <v>11</v>
      </c>
      <c r="H14" s="76">
        <f t="shared" si="5"/>
        <v>46110</v>
      </c>
      <c r="I14" s="77">
        <f>FORECAST(G14,$I$4:$I$13,$G$4:$G$13)</f>
        <v>11984.23066666667</v>
      </c>
      <c r="J14" s="79">
        <f t="shared" si="6"/>
        <v>-1.4907565792807942E-2</v>
      </c>
      <c r="L14" s="75">
        <f t="shared" ref="L14" si="17">L13+1</f>
        <v>11</v>
      </c>
      <c r="M14" s="76">
        <f t="shared" si="8"/>
        <v>46110</v>
      </c>
      <c r="N14" s="77">
        <f>FORECAST(L14,N4:N13,L4:L13)</f>
        <v>4.7639457325596162</v>
      </c>
      <c r="O14" s="79">
        <f t="shared" si="0"/>
        <v>-0.15527758544495329</v>
      </c>
    </row>
    <row r="15" spans="2:15" x14ac:dyDescent="0.3">
      <c r="B15" s="75">
        <f t="shared" si="1"/>
        <v>12</v>
      </c>
      <c r="C15" s="76">
        <f t="shared" si="2"/>
        <v>46475</v>
      </c>
      <c r="D15" s="77">
        <f t="shared" si="16"/>
        <v>69382.184606060619</v>
      </c>
      <c r="E15" s="79">
        <f t="shared" si="3"/>
        <v>6.95662318295307E-2</v>
      </c>
      <c r="G15" s="75">
        <f t="shared" si="4"/>
        <v>12</v>
      </c>
      <c r="H15" s="76">
        <f t="shared" si="5"/>
        <v>46475</v>
      </c>
      <c r="I15" s="77">
        <f t="shared" ref="I15:I18" si="18">FORECAST(G15,$I$4:$I$13,$G$4:$G$13)</f>
        <v>12993.568424242429</v>
      </c>
      <c r="J15" s="79">
        <f t="shared" si="6"/>
        <v>8.4222157070387826E-2</v>
      </c>
      <c r="L15" s="75">
        <f t="shared" ref="L15" si="19">L14+1</f>
        <v>12</v>
      </c>
      <c r="M15" s="76">
        <f t="shared" si="8"/>
        <v>46475</v>
      </c>
      <c r="N15" s="77">
        <f t="shared" ref="N15:N18" si="20">FORECAST(L15,N5:N14,L5:L14)</f>
        <v>6.4500512303579693</v>
      </c>
      <c r="O15" s="79">
        <f t="shared" si="0"/>
        <v>0.3539304585848897</v>
      </c>
    </row>
    <row r="16" spans="2:15" x14ac:dyDescent="0.3">
      <c r="B16" s="75">
        <f t="shared" si="1"/>
        <v>13</v>
      </c>
      <c r="C16" s="76">
        <f t="shared" si="2"/>
        <v>46840</v>
      </c>
      <c r="D16" s="77">
        <f t="shared" si="16"/>
        <v>73894.908545454557</v>
      </c>
      <c r="E16" s="79">
        <f t="shared" si="3"/>
        <v>6.5041537175809072E-2</v>
      </c>
      <c r="G16" s="75">
        <f t="shared" si="4"/>
        <v>13</v>
      </c>
      <c r="H16" s="76">
        <f t="shared" si="5"/>
        <v>46840</v>
      </c>
      <c r="I16" s="77">
        <f t="shared" si="18"/>
        <v>14002.906181818184</v>
      </c>
      <c r="J16" s="79">
        <f t="shared" si="6"/>
        <v>7.7679797005771656E-2</v>
      </c>
      <c r="L16" s="75">
        <f t="shared" ref="L16" si="21">L15+1</f>
        <v>13</v>
      </c>
      <c r="M16" s="76">
        <f t="shared" si="8"/>
        <v>46840</v>
      </c>
      <c r="N16" s="77">
        <f t="shared" si="20"/>
        <v>10.8563732186871</v>
      </c>
      <c r="O16" s="79">
        <f t="shared" si="0"/>
        <v>0.68314526985308688</v>
      </c>
    </row>
    <row r="17" spans="2:15" x14ac:dyDescent="0.3">
      <c r="B17" s="75">
        <f t="shared" si="1"/>
        <v>14</v>
      </c>
      <c r="C17" s="76">
        <f t="shared" si="2"/>
        <v>47205</v>
      </c>
      <c r="D17" s="77">
        <f t="shared" si="16"/>
        <v>78407.632484848495</v>
      </c>
      <c r="E17" s="79">
        <f t="shared" si="3"/>
        <v>6.1069484058134504E-2</v>
      </c>
      <c r="G17" s="75">
        <f t="shared" si="4"/>
        <v>14</v>
      </c>
      <c r="H17" s="76">
        <f t="shared" si="5"/>
        <v>47205</v>
      </c>
      <c r="I17" s="77">
        <f t="shared" si="18"/>
        <v>15012.243939393942</v>
      </c>
      <c r="J17" s="79">
        <f t="shared" si="6"/>
        <v>7.2080591305133224E-2</v>
      </c>
      <c r="L17" s="75">
        <f t="shared" ref="L17" si="22">L16+1</f>
        <v>14</v>
      </c>
      <c r="M17" s="76">
        <f t="shared" si="8"/>
        <v>47205</v>
      </c>
      <c r="N17" s="77">
        <f t="shared" si="20"/>
        <v>12.82268287625422</v>
      </c>
      <c r="O17" s="79">
        <f t="shared" si="0"/>
        <v>0.1811203076716732</v>
      </c>
    </row>
    <row r="18" spans="2:15" x14ac:dyDescent="0.3">
      <c r="B18" s="75">
        <f t="shared" si="1"/>
        <v>15</v>
      </c>
      <c r="C18" s="76">
        <f t="shared" si="2"/>
        <v>47570</v>
      </c>
      <c r="D18" s="77">
        <f t="shared" si="16"/>
        <v>82920.356424242433</v>
      </c>
      <c r="E18" s="79">
        <f t="shared" si="3"/>
        <v>5.7554651203962637E-2</v>
      </c>
      <c r="G18" s="75">
        <f t="shared" si="4"/>
        <v>15</v>
      </c>
      <c r="H18" s="76">
        <f t="shared" si="5"/>
        <v>47570</v>
      </c>
      <c r="I18" s="77">
        <f t="shared" si="18"/>
        <v>16021.581696969701</v>
      </c>
      <c r="J18" s="79">
        <f t="shared" si="6"/>
        <v>6.7234302989650718E-2</v>
      </c>
      <c r="L18" s="75">
        <f t="shared" ref="L18" si="23">L17+1</f>
        <v>15</v>
      </c>
      <c r="M18" s="76">
        <f t="shared" si="8"/>
        <v>47570</v>
      </c>
      <c r="N18" s="77">
        <f t="shared" si="20"/>
        <v>13.274594128241638</v>
      </c>
      <c r="O18" s="79">
        <f t="shared" si="0"/>
        <v>3.5243112252607789E-2</v>
      </c>
    </row>
    <row r="19" spans="2:15" x14ac:dyDescent="0.3">
      <c r="B19" s="66"/>
      <c r="C19" s="69"/>
    </row>
    <row r="20" spans="2:15" x14ac:dyDescent="0.3">
      <c r="B20" t="s">
        <v>171</v>
      </c>
      <c r="D20" s="5">
        <f>AVERAGE(E5:E13)</f>
        <v>9.9556619297654123E-2</v>
      </c>
    </row>
    <row r="21" spans="2:15" x14ac:dyDescent="0.3">
      <c r="B21" t="s">
        <v>172</v>
      </c>
      <c r="D21" s="29">
        <f>((D13/D4)^(1/B13)-1)</f>
        <v>8.3018537780812363E-2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</row>
  </sheetData>
  <mergeCells count="3">
    <mergeCell ref="B2:E2"/>
    <mergeCell ref="L2:O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Normal="100" zoomScalePageLayoutView="120" workbookViewId="0">
      <pane xSplit="1" ySplit="1" topLeftCell="B3" activePane="bottomRight" state="frozen"/>
      <selection activeCell="C4" sqref="C4"/>
      <selection pane="topRight" activeCell="C4" sqref="C4"/>
      <selection pane="bottomLeft" activeCell="C4" sqref="C4"/>
      <selection pane="bottomRight" activeCell="O3" sqref="O3"/>
    </sheetView>
  </sheetViews>
  <sheetFormatPr defaultColWidth="8.88671875" defaultRowHeight="14.4" x14ac:dyDescent="0.3"/>
  <cols>
    <col min="1" max="1" width="27.6640625" style="4" bestFit="1" customWidth="1"/>
    <col min="2" max="11" width="13.44140625" style="4" bestFit="1" customWidth="1"/>
    <col min="12" max="16384" width="8.88671875" style="4"/>
  </cols>
  <sheetData>
    <row r="1" spans="1:11" s="1" customFormat="1" x14ac:dyDescent="0.3">
      <c r="A1" s="1" t="s">
        <v>0</v>
      </c>
      <c r="B1" s="1" t="s">
        <v>48</v>
      </c>
      <c r="E1" s="82" t="str">
        <f>IF(B2&lt;&gt;B3, "A NEW VERSION OF THE WORKSHEET IS AVAILABLE", "")</f>
        <v/>
      </c>
      <c r="F1" s="82"/>
      <c r="G1" s="82"/>
      <c r="H1" s="82"/>
      <c r="I1" s="82"/>
      <c r="J1" s="82"/>
      <c r="K1" s="82"/>
    </row>
    <row r="2" spans="1:11" x14ac:dyDescent="0.3">
      <c r="A2" s="1" t="s">
        <v>46</v>
      </c>
      <c r="B2" s="4">
        <v>2.1</v>
      </c>
      <c r="E2" s="83" t="s">
        <v>35</v>
      </c>
      <c r="F2" s="83"/>
      <c r="G2" s="83"/>
      <c r="H2" s="83"/>
      <c r="I2" s="83"/>
      <c r="J2" s="83"/>
      <c r="K2" s="83"/>
    </row>
    <row r="3" spans="1:11" x14ac:dyDescent="0.3">
      <c r="A3" s="1" t="s">
        <v>47</v>
      </c>
      <c r="B3" s="4">
        <v>2.1</v>
      </c>
    </row>
    <row r="4" spans="1:11" x14ac:dyDescent="0.3">
      <c r="A4" s="1"/>
      <c r="C4" s="70"/>
    </row>
    <row r="5" spans="1:11" x14ac:dyDescent="0.3">
      <c r="A5" s="1" t="s">
        <v>49</v>
      </c>
      <c r="C5" s="70"/>
    </row>
    <row r="6" spans="1:11" x14ac:dyDescent="0.3">
      <c r="A6" s="4" t="s">
        <v>41</v>
      </c>
      <c r="B6" s="4">
        <f>IF(B9&gt;0, B9/B8, 0)</f>
        <v>319.57732716385414</v>
      </c>
      <c r="C6" s="70"/>
    </row>
    <row r="7" spans="1:11" x14ac:dyDescent="0.3">
      <c r="A7" s="4" t="s">
        <v>30</v>
      </c>
      <c r="B7">
        <v>1</v>
      </c>
      <c r="C7" s="70"/>
    </row>
    <row r="8" spans="1:11" x14ac:dyDescent="0.3">
      <c r="A8" s="4" t="s">
        <v>42</v>
      </c>
      <c r="B8">
        <v>367.4</v>
      </c>
      <c r="C8" s="70"/>
    </row>
    <row r="9" spans="1:11" x14ac:dyDescent="0.3">
      <c r="A9" s="4" t="s">
        <v>64</v>
      </c>
      <c r="B9">
        <v>117412.71</v>
      </c>
      <c r="C9" s="70"/>
    </row>
    <row r="10" spans="1:11" x14ac:dyDescent="0.3">
      <c r="C10" s="70"/>
    </row>
    <row r="11" spans="1:11" x14ac:dyDescent="0.3">
      <c r="C11" s="70"/>
    </row>
    <row r="12" spans="1:11" x14ac:dyDescent="0.3">
      <c r="C12" s="70"/>
    </row>
    <row r="13" spans="1:11" x14ac:dyDescent="0.3">
      <c r="C13" s="70"/>
    </row>
    <row r="14" spans="1:11" x14ac:dyDescent="0.3">
      <c r="C14" s="70"/>
    </row>
    <row r="15" spans="1:11" x14ac:dyDescent="0.3">
      <c r="A15" s="1" t="s">
        <v>36</v>
      </c>
      <c r="C15" s="70"/>
    </row>
    <row r="16" spans="1:11" s="15" customFormat="1" x14ac:dyDescent="0.3">
      <c r="A16" s="14" t="s">
        <v>37</v>
      </c>
      <c r="B16" s="11">
        <v>42460</v>
      </c>
      <c r="C16" s="11">
        <v>42825</v>
      </c>
      <c r="D16" s="11">
        <v>43190</v>
      </c>
      <c r="E16" s="11">
        <v>43555</v>
      </c>
      <c r="F16" s="11">
        <v>43921</v>
      </c>
      <c r="G16" s="11">
        <v>44286</v>
      </c>
      <c r="H16" s="11">
        <v>44651</v>
      </c>
      <c r="I16" s="11">
        <v>45016</v>
      </c>
      <c r="J16" s="11">
        <v>45382</v>
      </c>
      <c r="K16" s="11">
        <v>45747</v>
      </c>
    </row>
    <row r="17" spans="1:11" s="6" customFormat="1" x14ac:dyDescent="0.3">
      <c r="A17" s="6" t="s">
        <v>6</v>
      </c>
      <c r="B17">
        <v>29494.3</v>
      </c>
      <c r="C17" s="72">
        <v>27587.59</v>
      </c>
      <c r="D17">
        <v>26840.27</v>
      </c>
      <c r="E17">
        <v>29881.06</v>
      </c>
      <c r="F17">
        <v>29136.37</v>
      </c>
      <c r="G17">
        <v>32703.31</v>
      </c>
      <c r="H17">
        <v>42815.67</v>
      </c>
      <c r="I17">
        <v>55109.08</v>
      </c>
      <c r="J17">
        <v>61448.9</v>
      </c>
      <c r="K17">
        <v>65478.239999999998</v>
      </c>
    </row>
    <row r="18" spans="1:11" s="6" customFormat="1" x14ac:dyDescent="0.3">
      <c r="A18" s="4" t="s">
        <v>65</v>
      </c>
      <c r="B18"/>
      <c r="C18" s="73"/>
      <c r="D18"/>
      <c r="E18"/>
      <c r="F18"/>
      <c r="G18"/>
      <c r="H18"/>
      <c r="I18"/>
      <c r="J18"/>
      <c r="K18"/>
    </row>
    <row r="19" spans="1:11" s="6" customFormat="1" x14ac:dyDescent="0.3">
      <c r="A19" s="4" t="s">
        <v>66</v>
      </c>
      <c r="B19">
        <v>-34.159999999999997</v>
      </c>
      <c r="C19" s="73">
        <v>-28.34</v>
      </c>
      <c r="D19">
        <v>8.51</v>
      </c>
      <c r="E19">
        <v>-24.37</v>
      </c>
      <c r="F19">
        <v>15.64</v>
      </c>
      <c r="G19">
        <v>-0.41</v>
      </c>
      <c r="H19">
        <v>199.22</v>
      </c>
      <c r="I19">
        <v>-43.53</v>
      </c>
      <c r="J19">
        <v>51.78</v>
      </c>
      <c r="K19">
        <v>440.76</v>
      </c>
    </row>
    <row r="20" spans="1:11" s="6" customFormat="1" x14ac:dyDescent="0.3">
      <c r="A20" s="4" t="s">
        <v>67</v>
      </c>
      <c r="B20">
        <v>17088.59</v>
      </c>
      <c r="C20">
        <v>17921.05</v>
      </c>
      <c r="D20">
        <v>16356.15</v>
      </c>
      <c r="E20">
        <v>18918.900000000001</v>
      </c>
      <c r="F20">
        <v>17100.03</v>
      </c>
      <c r="G20">
        <v>20037.560000000001</v>
      </c>
      <c r="H20">
        <v>26764.37</v>
      </c>
      <c r="I20">
        <v>36708.559999999998</v>
      </c>
      <c r="J20">
        <v>39584.79</v>
      </c>
      <c r="K20">
        <v>39363.54</v>
      </c>
    </row>
    <row r="21" spans="1:11" s="6" customFormat="1" x14ac:dyDescent="0.3">
      <c r="A21" s="4" t="s">
        <v>68</v>
      </c>
      <c r="B21">
        <v>3146.34</v>
      </c>
      <c r="C21">
        <v>1720.75</v>
      </c>
      <c r="D21">
        <v>2041.68</v>
      </c>
      <c r="E21">
        <v>2056.1</v>
      </c>
      <c r="F21">
        <v>2013.68</v>
      </c>
      <c r="G21">
        <v>2533.4299999999998</v>
      </c>
      <c r="H21">
        <v>3942.93</v>
      </c>
      <c r="I21">
        <v>5007.21</v>
      </c>
      <c r="J21">
        <v>5272.77</v>
      </c>
      <c r="K21">
        <v>6306.19</v>
      </c>
    </row>
    <row r="22" spans="1:11" s="6" customFormat="1" x14ac:dyDescent="0.3">
      <c r="A22" s="4" t="s">
        <v>69</v>
      </c>
      <c r="B22">
        <v>1375.45</v>
      </c>
      <c r="C22">
        <v>1342.92</v>
      </c>
      <c r="D22">
        <v>1475</v>
      </c>
      <c r="E22">
        <v>1497.6</v>
      </c>
      <c r="F22">
        <v>1541.05</v>
      </c>
      <c r="G22">
        <v>2414.2399999999998</v>
      </c>
      <c r="H22">
        <v>3731.29</v>
      </c>
      <c r="I22">
        <v>3801.4</v>
      </c>
      <c r="J22">
        <v>4264.99</v>
      </c>
      <c r="K22">
        <v>4649.25</v>
      </c>
    </row>
    <row r="23" spans="1:11" s="6" customFormat="1" x14ac:dyDescent="0.3">
      <c r="A23" s="4" t="s">
        <v>70</v>
      </c>
      <c r="B23">
        <v>570.39</v>
      </c>
      <c r="C23">
        <v>481.89</v>
      </c>
      <c r="D23">
        <v>511.78</v>
      </c>
      <c r="E23">
        <v>466.39</v>
      </c>
      <c r="F23">
        <v>401.51</v>
      </c>
      <c r="G23">
        <v>523.94000000000005</v>
      </c>
      <c r="H23">
        <v>730.58</v>
      </c>
      <c r="I23">
        <v>1016.41</v>
      </c>
      <c r="J23">
        <v>1017.98</v>
      </c>
      <c r="K23">
        <v>1055.18</v>
      </c>
    </row>
    <row r="24" spans="1:11" s="6" customFormat="1" x14ac:dyDescent="0.3">
      <c r="A24" s="4" t="s">
        <v>71</v>
      </c>
      <c r="B24">
        <v>5174.1400000000003</v>
      </c>
      <c r="C24">
        <v>619.37</v>
      </c>
      <c r="D24">
        <v>4169.34</v>
      </c>
      <c r="E24">
        <v>3847.79</v>
      </c>
      <c r="F24">
        <v>1290.67</v>
      </c>
      <c r="G24">
        <v>272.83</v>
      </c>
      <c r="H24">
        <v>814.83</v>
      </c>
      <c r="I24">
        <v>804.21</v>
      </c>
      <c r="J24">
        <v>624.87</v>
      </c>
      <c r="K24">
        <v>2379.25</v>
      </c>
    </row>
    <row r="25" spans="1:11" s="6" customFormat="1" x14ac:dyDescent="0.3">
      <c r="A25" s="6" t="s">
        <v>9</v>
      </c>
      <c r="B25">
        <v>4060.02</v>
      </c>
      <c r="C25">
        <v>1297.3699999999999</v>
      </c>
      <c r="D25">
        <v>6585.64</v>
      </c>
      <c r="E25">
        <v>7186.47</v>
      </c>
      <c r="F25">
        <v>2280.15</v>
      </c>
      <c r="G25">
        <v>1774.96</v>
      </c>
      <c r="H25">
        <v>2485.5</v>
      </c>
      <c r="I25">
        <v>5540.09</v>
      </c>
      <c r="J25">
        <v>3416.33</v>
      </c>
      <c r="K25">
        <v>2973.33</v>
      </c>
    </row>
    <row r="26" spans="1:11" s="6" customFormat="1" x14ac:dyDescent="0.3">
      <c r="A26" s="6" t="s">
        <v>10</v>
      </c>
      <c r="B26">
        <v>1648.73</v>
      </c>
      <c r="C26">
        <v>1955.59</v>
      </c>
      <c r="D26">
        <v>2346.17</v>
      </c>
      <c r="E26">
        <v>2393.13</v>
      </c>
      <c r="F26">
        <v>2633.56</v>
      </c>
      <c r="G26">
        <v>2744.94</v>
      </c>
      <c r="H26">
        <v>3122.2</v>
      </c>
      <c r="I26">
        <v>3439.2</v>
      </c>
      <c r="J26">
        <v>3786.37</v>
      </c>
      <c r="K26">
        <v>4116.8599999999997</v>
      </c>
    </row>
    <row r="27" spans="1:11" s="6" customFormat="1" x14ac:dyDescent="0.3">
      <c r="A27" s="6" t="s">
        <v>11</v>
      </c>
      <c r="B27">
        <v>3235.81</v>
      </c>
      <c r="C27">
        <v>3364.96</v>
      </c>
      <c r="D27">
        <v>3761.48</v>
      </c>
      <c r="E27">
        <v>4170</v>
      </c>
      <c r="F27">
        <v>4493.7299999999996</v>
      </c>
      <c r="G27">
        <v>4010.39</v>
      </c>
      <c r="H27">
        <v>3859.02</v>
      </c>
      <c r="I27">
        <v>4371.6499999999996</v>
      </c>
      <c r="J27">
        <v>4633.22</v>
      </c>
      <c r="K27">
        <v>4702.4399999999996</v>
      </c>
    </row>
    <row r="28" spans="1:11" s="6" customFormat="1" x14ac:dyDescent="0.3">
      <c r="A28" s="6" t="s">
        <v>12</v>
      </c>
      <c r="B28">
        <v>1280.71</v>
      </c>
      <c r="C28">
        <v>1450.09</v>
      </c>
      <c r="D28">
        <v>2772.82</v>
      </c>
      <c r="E28">
        <v>3693.25</v>
      </c>
      <c r="F28">
        <v>1957.93</v>
      </c>
      <c r="G28">
        <v>1940.53</v>
      </c>
      <c r="H28">
        <v>2535.17</v>
      </c>
      <c r="I28">
        <v>5457</v>
      </c>
      <c r="J28">
        <v>5732.02</v>
      </c>
      <c r="K28">
        <v>6319.62</v>
      </c>
    </row>
    <row r="29" spans="1:11" s="6" customFormat="1" x14ac:dyDescent="0.3">
      <c r="A29" s="6" t="s">
        <v>13</v>
      </c>
      <c r="B29">
        <v>680.31</v>
      </c>
      <c r="C29">
        <v>350.46</v>
      </c>
      <c r="D29">
        <v>161.97</v>
      </c>
      <c r="E29">
        <v>1087.5899999999999</v>
      </c>
      <c r="F29">
        <v>641.49</v>
      </c>
      <c r="G29">
        <v>501.88</v>
      </c>
      <c r="H29">
        <v>379.56</v>
      </c>
      <c r="I29">
        <v>1647.33</v>
      </c>
      <c r="J29">
        <v>1451.92</v>
      </c>
      <c r="K29">
        <v>1544.25</v>
      </c>
    </row>
    <row r="30" spans="1:11" s="6" customFormat="1" x14ac:dyDescent="0.3">
      <c r="A30" s="6" t="s">
        <v>14</v>
      </c>
      <c r="B30">
        <v>662.2</v>
      </c>
      <c r="C30">
        <v>896.55</v>
      </c>
      <c r="D30">
        <v>2408.3000000000002</v>
      </c>
      <c r="E30">
        <v>2356.19</v>
      </c>
      <c r="F30">
        <v>1017.38</v>
      </c>
      <c r="G30">
        <v>1127.3800000000001</v>
      </c>
      <c r="H30">
        <v>1741.46</v>
      </c>
      <c r="I30">
        <v>3336.44</v>
      </c>
      <c r="J30">
        <v>3696.25</v>
      </c>
      <c r="K30">
        <v>3971</v>
      </c>
    </row>
    <row r="31" spans="1:11" s="6" customFormat="1" x14ac:dyDescent="0.3">
      <c r="A31" s="6" t="s">
        <v>55</v>
      </c>
      <c r="B31">
        <v>351.62</v>
      </c>
      <c r="C31">
        <v>351.65</v>
      </c>
      <c r="D31">
        <v>351.65</v>
      </c>
      <c r="E31">
        <v>351.65</v>
      </c>
      <c r="F31">
        <v>419.28</v>
      </c>
      <c r="G31">
        <v>495.32</v>
      </c>
      <c r="H31">
        <v>559.23</v>
      </c>
      <c r="I31">
        <v>639.12</v>
      </c>
      <c r="J31">
        <v>639.12</v>
      </c>
      <c r="K31">
        <v>798.9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38</v>
      </c>
    </row>
    <row r="41" spans="1:11" s="15" customFormat="1" x14ac:dyDescent="0.3">
      <c r="A41" s="14" t="s">
        <v>37</v>
      </c>
      <c r="B41" s="11">
        <v>45107</v>
      </c>
      <c r="C41" s="11">
        <v>45199</v>
      </c>
      <c r="D41" s="11">
        <v>45291</v>
      </c>
      <c r="E41" s="11">
        <v>45382</v>
      </c>
      <c r="F41" s="11">
        <v>45473</v>
      </c>
      <c r="G41" s="11">
        <v>45565</v>
      </c>
      <c r="H41" s="11">
        <v>45657</v>
      </c>
      <c r="I41" s="11">
        <v>45747</v>
      </c>
      <c r="J41" s="11">
        <v>45838</v>
      </c>
      <c r="K41" s="11">
        <v>45930</v>
      </c>
    </row>
    <row r="42" spans="1:11" s="6" customFormat="1" x14ac:dyDescent="0.3">
      <c r="A42" s="6" t="s">
        <v>6</v>
      </c>
      <c r="B42">
        <v>15213.29</v>
      </c>
      <c r="C42">
        <v>15738.03</v>
      </c>
      <c r="D42">
        <v>14651</v>
      </c>
      <c r="E42">
        <v>15846.58</v>
      </c>
      <c r="F42">
        <v>17293.62</v>
      </c>
      <c r="G42">
        <v>15697.67</v>
      </c>
      <c r="H42">
        <v>15391.06</v>
      </c>
      <c r="I42">
        <v>17095.88</v>
      </c>
      <c r="J42">
        <v>18035.07</v>
      </c>
      <c r="K42">
        <v>15544.91</v>
      </c>
    </row>
    <row r="43" spans="1:11" s="6" customFormat="1" x14ac:dyDescent="0.3">
      <c r="A43" s="6" t="s">
        <v>7</v>
      </c>
      <c r="B43">
        <v>12499.94</v>
      </c>
      <c r="C43">
        <v>12966.92</v>
      </c>
      <c r="D43">
        <v>12233.58</v>
      </c>
      <c r="E43">
        <v>13539.69</v>
      </c>
      <c r="F43">
        <v>14231.87</v>
      </c>
      <c r="G43">
        <v>12426.76</v>
      </c>
      <c r="H43">
        <v>12312.03</v>
      </c>
      <c r="I43">
        <v>14027.62</v>
      </c>
      <c r="J43">
        <v>14469.9</v>
      </c>
      <c r="K43">
        <v>12242.96</v>
      </c>
    </row>
    <row r="44" spans="1:11" s="6" customFormat="1" x14ac:dyDescent="0.3">
      <c r="A44" s="6" t="s">
        <v>9</v>
      </c>
      <c r="B44">
        <v>877.05</v>
      </c>
      <c r="C44">
        <v>567.29</v>
      </c>
      <c r="D44">
        <v>1091.8699999999999</v>
      </c>
      <c r="E44">
        <v>1406.63</v>
      </c>
      <c r="F44">
        <v>577.72</v>
      </c>
      <c r="G44">
        <v>631.75</v>
      </c>
      <c r="H44">
        <v>588.54999999999995</v>
      </c>
      <c r="I44">
        <v>860.92</v>
      </c>
      <c r="J44">
        <v>494.42</v>
      </c>
      <c r="K44">
        <v>858.65</v>
      </c>
    </row>
    <row r="45" spans="1:11" s="6" customFormat="1" x14ac:dyDescent="0.3">
      <c r="A45" s="6" t="s">
        <v>10</v>
      </c>
      <c r="B45">
        <v>893.44</v>
      </c>
      <c r="C45">
        <v>925.89</v>
      </c>
      <c r="D45">
        <v>926.27</v>
      </c>
      <c r="E45">
        <v>1040.77</v>
      </c>
      <c r="F45">
        <v>972.89</v>
      </c>
      <c r="G45">
        <v>986.69</v>
      </c>
      <c r="H45">
        <v>1040.99</v>
      </c>
      <c r="I45">
        <v>1116.28</v>
      </c>
      <c r="J45">
        <v>1160.9100000000001</v>
      </c>
      <c r="K45">
        <v>1162.05</v>
      </c>
    </row>
    <row r="46" spans="1:11" s="6" customFormat="1" x14ac:dyDescent="0.3">
      <c r="A46" s="6" t="s">
        <v>11</v>
      </c>
      <c r="B46">
        <v>1221.4100000000001</v>
      </c>
      <c r="C46">
        <v>1181.83</v>
      </c>
      <c r="D46">
        <v>1094.26</v>
      </c>
      <c r="E46">
        <v>1135.72</v>
      </c>
      <c r="F46">
        <v>1176.24</v>
      </c>
      <c r="G46">
        <v>1143.0999999999999</v>
      </c>
      <c r="H46">
        <v>1169.9000000000001</v>
      </c>
      <c r="I46">
        <v>1213.21</v>
      </c>
      <c r="J46">
        <v>1279.22</v>
      </c>
      <c r="K46">
        <v>1318.65</v>
      </c>
    </row>
    <row r="47" spans="1:11" s="6" customFormat="1" x14ac:dyDescent="0.3">
      <c r="A47" s="6" t="s">
        <v>12</v>
      </c>
      <c r="B47">
        <v>1475.55</v>
      </c>
      <c r="C47">
        <v>1230.68</v>
      </c>
      <c r="D47">
        <v>1488.76</v>
      </c>
      <c r="E47">
        <v>1537.03</v>
      </c>
      <c r="F47">
        <v>1490.34</v>
      </c>
      <c r="G47">
        <v>1772.87</v>
      </c>
      <c r="H47">
        <v>1456.69</v>
      </c>
      <c r="I47">
        <v>1599.69</v>
      </c>
      <c r="J47">
        <v>1619.46</v>
      </c>
      <c r="K47">
        <v>1679.9</v>
      </c>
    </row>
    <row r="48" spans="1:11" s="6" customFormat="1" x14ac:dyDescent="0.3">
      <c r="A48" s="6" t="s">
        <v>13</v>
      </c>
      <c r="B48">
        <v>334.58</v>
      </c>
      <c r="C48">
        <v>213.27</v>
      </c>
      <c r="D48">
        <v>412.64</v>
      </c>
      <c r="E48">
        <v>491.44</v>
      </c>
      <c r="F48">
        <v>301.70999999999998</v>
      </c>
      <c r="G48">
        <v>679.79</v>
      </c>
      <c r="H48">
        <v>269.14999999999998</v>
      </c>
      <c r="I48">
        <v>293.60000000000002</v>
      </c>
      <c r="J48">
        <v>357.14</v>
      </c>
      <c r="K48">
        <v>434.51</v>
      </c>
    </row>
    <row r="49" spans="1:11" s="6" customFormat="1" x14ac:dyDescent="0.3">
      <c r="A49" s="6" t="s">
        <v>14</v>
      </c>
      <c r="B49">
        <v>972.49</v>
      </c>
      <c r="C49">
        <v>875.53</v>
      </c>
      <c r="D49">
        <v>953.01</v>
      </c>
      <c r="E49">
        <v>895.21</v>
      </c>
      <c r="F49">
        <v>970.91</v>
      </c>
      <c r="G49">
        <v>926.53</v>
      </c>
      <c r="H49">
        <v>1030.7</v>
      </c>
      <c r="I49">
        <v>1042.83</v>
      </c>
      <c r="J49">
        <v>1059.8599999999999</v>
      </c>
      <c r="K49">
        <v>919.44</v>
      </c>
    </row>
    <row r="50" spans="1:11" x14ac:dyDescent="0.3">
      <c r="A50" s="6" t="s">
        <v>8</v>
      </c>
      <c r="B50">
        <v>2713.35</v>
      </c>
      <c r="C50">
        <v>2771.11</v>
      </c>
      <c r="D50">
        <v>2417.42</v>
      </c>
      <c r="E50">
        <v>2306.89</v>
      </c>
      <c r="F50">
        <v>3061.75</v>
      </c>
      <c r="G50">
        <v>3270.91</v>
      </c>
      <c r="H50">
        <v>3079.03</v>
      </c>
      <c r="I50">
        <v>3068.26</v>
      </c>
      <c r="J50">
        <v>3565.17</v>
      </c>
      <c r="K50">
        <v>3301.95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39</v>
      </c>
    </row>
    <row r="56" spans="1:11" s="15" customFormat="1" x14ac:dyDescent="0.3">
      <c r="A56" s="14" t="s">
        <v>37</v>
      </c>
      <c r="B56" s="11">
        <v>42460</v>
      </c>
      <c r="C56" s="11">
        <v>42825</v>
      </c>
      <c r="D56" s="11">
        <v>43190</v>
      </c>
      <c r="E56" s="11">
        <v>43555</v>
      </c>
      <c r="F56" s="11">
        <v>43921</v>
      </c>
      <c r="G56" s="11">
        <v>44286</v>
      </c>
      <c r="H56" s="11">
        <v>44651</v>
      </c>
      <c r="I56" s="11">
        <v>45016</v>
      </c>
      <c r="J56" s="11">
        <v>45382</v>
      </c>
      <c r="K56" s="11">
        <v>45747</v>
      </c>
    </row>
    <row r="57" spans="1:11" x14ac:dyDescent="0.3">
      <c r="A57" s="6" t="s">
        <v>24</v>
      </c>
      <c r="B57">
        <v>270.48</v>
      </c>
      <c r="C57">
        <v>270.5</v>
      </c>
      <c r="D57">
        <v>270.5</v>
      </c>
      <c r="E57">
        <v>270.5</v>
      </c>
      <c r="F57">
        <v>270.5</v>
      </c>
      <c r="G57">
        <v>319.56</v>
      </c>
      <c r="H57">
        <v>319.56</v>
      </c>
      <c r="I57">
        <v>319.56</v>
      </c>
      <c r="J57">
        <v>319.56</v>
      </c>
      <c r="K57">
        <v>319.56</v>
      </c>
    </row>
    <row r="58" spans="1:11" x14ac:dyDescent="0.3">
      <c r="A58" s="6" t="s">
        <v>25</v>
      </c>
      <c r="B58">
        <v>11362.9</v>
      </c>
      <c r="C58">
        <v>12944.05</v>
      </c>
      <c r="D58">
        <v>16129.38</v>
      </c>
      <c r="E58">
        <v>18035.009999999998</v>
      </c>
      <c r="F58">
        <v>19295.52</v>
      </c>
      <c r="G58">
        <v>22002.7</v>
      </c>
      <c r="H58">
        <v>22122</v>
      </c>
      <c r="I58">
        <v>28467.87</v>
      </c>
      <c r="J58">
        <v>32035.73</v>
      </c>
      <c r="K58">
        <v>35521.11</v>
      </c>
    </row>
    <row r="59" spans="1:11" x14ac:dyDescent="0.3">
      <c r="A59" s="6" t="s">
        <v>56</v>
      </c>
      <c r="B59">
        <v>38848.589999999997</v>
      </c>
      <c r="C59">
        <v>48815.41</v>
      </c>
      <c r="D59">
        <v>48589.24</v>
      </c>
      <c r="E59">
        <v>48506.04</v>
      </c>
      <c r="F59">
        <v>51936.15</v>
      </c>
      <c r="G59">
        <v>46707.95</v>
      </c>
      <c r="H59">
        <v>51195.12</v>
      </c>
      <c r="I59">
        <v>52923</v>
      </c>
      <c r="J59">
        <v>53689.45</v>
      </c>
      <c r="K59">
        <v>62865.8</v>
      </c>
    </row>
    <row r="60" spans="1:11" x14ac:dyDescent="0.3">
      <c r="A60" s="6" t="s">
        <v>57</v>
      </c>
      <c r="B60">
        <v>19574.54</v>
      </c>
      <c r="C60">
        <v>20799.3</v>
      </c>
      <c r="D60">
        <v>16902.68</v>
      </c>
      <c r="E60">
        <v>17261.89</v>
      </c>
      <c r="F60">
        <v>18171.740000000002</v>
      </c>
      <c r="G60">
        <v>29624.63</v>
      </c>
      <c r="H60">
        <v>38913.31</v>
      </c>
      <c r="I60">
        <v>46385.71</v>
      </c>
      <c r="J60">
        <v>53009.66</v>
      </c>
      <c r="K60">
        <v>57486.83</v>
      </c>
    </row>
    <row r="61" spans="1:11" s="1" customFormat="1" x14ac:dyDescent="0.3">
      <c r="A61" s="1" t="s">
        <v>26</v>
      </c>
      <c r="B61">
        <v>70056.509999999995</v>
      </c>
      <c r="C61">
        <v>82829.259999999995</v>
      </c>
      <c r="D61">
        <v>81891.8</v>
      </c>
      <c r="E61">
        <v>84073.44</v>
      </c>
      <c r="F61">
        <v>89673.91</v>
      </c>
      <c r="G61">
        <v>98654.84</v>
      </c>
      <c r="H61">
        <v>112549.99</v>
      </c>
      <c r="I61">
        <v>128096.14</v>
      </c>
      <c r="J61">
        <v>139054.39999999999</v>
      </c>
      <c r="K61">
        <v>156193.29999999999</v>
      </c>
    </row>
    <row r="62" spans="1:11" x14ac:dyDescent="0.3">
      <c r="A62" s="6" t="s">
        <v>27</v>
      </c>
      <c r="B62">
        <v>36413.72</v>
      </c>
      <c r="C62">
        <v>46594.79</v>
      </c>
      <c r="D62">
        <v>44656.26</v>
      </c>
      <c r="E62">
        <v>44304.89</v>
      </c>
      <c r="F62">
        <v>47666.36</v>
      </c>
      <c r="G62">
        <v>52179.15</v>
      </c>
      <c r="H62">
        <v>57389.440000000002</v>
      </c>
      <c r="I62">
        <v>61746.66</v>
      </c>
      <c r="J62">
        <v>67209.56</v>
      </c>
      <c r="K62">
        <v>78374.429999999993</v>
      </c>
    </row>
    <row r="63" spans="1:11" x14ac:dyDescent="0.3">
      <c r="A63" s="6" t="s">
        <v>28</v>
      </c>
      <c r="B63">
        <v>1344.91</v>
      </c>
      <c r="C63">
        <v>2177.92</v>
      </c>
      <c r="D63">
        <v>1652.6</v>
      </c>
      <c r="E63">
        <v>2575.6999999999998</v>
      </c>
      <c r="F63">
        <v>1611.52</v>
      </c>
      <c r="G63">
        <v>3270.26</v>
      </c>
      <c r="H63">
        <v>4635.1000000000004</v>
      </c>
      <c r="I63">
        <v>5376.36</v>
      </c>
      <c r="J63">
        <v>11561.31</v>
      </c>
      <c r="K63">
        <v>12678.87</v>
      </c>
    </row>
    <row r="64" spans="1:11" x14ac:dyDescent="0.3">
      <c r="A64" s="6" t="s">
        <v>29</v>
      </c>
      <c r="B64">
        <v>11785.35</v>
      </c>
      <c r="C64">
        <v>11873.01</v>
      </c>
      <c r="D64">
        <v>12428.93</v>
      </c>
      <c r="E64">
        <v>13541.87</v>
      </c>
      <c r="F64">
        <v>14534.84</v>
      </c>
      <c r="G64">
        <v>13149.05</v>
      </c>
      <c r="H64">
        <v>14160.33</v>
      </c>
      <c r="I64">
        <v>16669.689999999999</v>
      </c>
      <c r="J64">
        <v>16315.99</v>
      </c>
      <c r="K64">
        <v>16316.39</v>
      </c>
    </row>
    <row r="65" spans="1:11" x14ac:dyDescent="0.3">
      <c r="A65" s="6" t="s">
        <v>58</v>
      </c>
      <c r="B65">
        <v>20512.53</v>
      </c>
      <c r="C65">
        <v>22183.54</v>
      </c>
      <c r="D65">
        <v>23154.01</v>
      </c>
      <c r="E65">
        <v>23650.98</v>
      </c>
      <c r="F65">
        <v>25861.19</v>
      </c>
      <c r="G65">
        <v>30056.38</v>
      </c>
      <c r="H65">
        <v>36365.120000000003</v>
      </c>
      <c r="I65">
        <v>44303.43</v>
      </c>
      <c r="J65">
        <v>43967.54</v>
      </c>
      <c r="K65">
        <v>48823.61</v>
      </c>
    </row>
    <row r="66" spans="1:11" s="1" customFormat="1" x14ac:dyDescent="0.3">
      <c r="A66" s="1" t="s">
        <v>26</v>
      </c>
      <c r="B66">
        <v>70056.509999999995</v>
      </c>
      <c r="C66">
        <v>82829.259999999995</v>
      </c>
      <c r="D66">
        <v>81891.8</v>
      </c>
      <c r="E66">
        <v>84073.44</v>
      </c>
      <c r="F66">
        <v>89673.91</v>
      </c>
      <c r="G66">
        <v>98654.84</v>
      </c>
      <c r="H66">
        <v>112549.99</v>
      </c>
      <c r="I66">
        <v>128096.14</v>
      </c>
      <c r="J66">
        <v>139054.39999999999</v>
      </c>
      <c r="K66">
        <v>156193.29999999999</v>
      </c>
    </row>
    <row r="67" spans="1:11" s="6" customFormat="1" x14ac:dyDescent="0.3">
      <c r="A67" s="6" t="s">
        <v>63</v>
      </c>
      <c r="B67">
        <v>3540.24</v>
      </c>
      <c r="C67">
        <v>3832.12</v>
      </c>
      <c r="D67">
        <v>2788.93</v>
      </c>
      <c r="E67">
        <v>4445.26</v>
      </c>
      <c r="F67">
        <v>4425.8999999999996</v>
      </c>
      <c r="G67">
        <v>5200.08</v>
      </c>
      <c r="H67">
        <v>5979.74</v>
      </c>
      <c r="I67">
        <v>6952.15</v>
      </c>
      <c r="J67">
        <v>7401.69</v>
      </c>
      <c r="K67">
        <v>5709.78</v>
      </c>
    </row>
    <row r="68" spans="1:11" x14ac:dyDescent="0.3">
      <c r="A68" s="6" t="s">
        <v>43</v>
      </c>
      <c r="B68">
        <v>1373.4</v>
      </c>
      <c r="C68">
        <v>1599.56</v>
      </c>
      <c r="D68">
        <v>1623.08</v>
      </c>
      <c r="E68">
        <v>1706.42</v>
      </c>
      <c r="F68">
        <v>1752.35</v>
      </c>
      <c r="G68">
        <v>1885.62</v>
      </c>
      <c r="H68">
        <v>4231.5200000000004</v>
      </c>
      <c r="I68">
        <v>3942.88</v>
      </c>
      <c r="J68">
        <v>4419.63</v>
      </c>
      <c r="K68">
        <v>4571.82</v>
      </c>
    </row>
    <row r="69" spans="1:11" x14ac:dyDescent="0.3">
      <c r="A69" s="4" t="s">
        <v>72</v>
      </c>
      <c r="B69">
        <v>663.16</v>
      </c>
      <c r="C69">
        <v>954.3</v>
      </c>
      <c r="D69">
        <v>1185.78</v>
      </c>
      <c r="E69">
        <v>787.45</v>
      </c>
      <c r="F69">
        <v>2094.1799999999998</v>
      </c>
      <c r="G69">
        <v>5870.67</v>
      </c>
      <c r="H69">
        <v>6640.7</v>
      </c>
      <c r="I69">
        <v>11206.53</v>
      </c>
      <c r="J69">
        <v>9151.91</v>
      </c>
      <c r="K69">
        <v>11750.98</v>
      </c>
    </row>
    <row r="70" spans="1:11" x14ac:dyDescent="0.3">
      <c r="A70" s="4" t="s">
        <v>59</v>
      </c>
      <c r="B70">
        <v>2704629398</v>
      </c>
      <c r="C70">
        <v>2706281698</v>
      </c>
      <c r="D70">
        <v>2706425810</v>
      </c>
      <c r="E70">
        <v>2706425810</v>
      </c>
      <c r="F70">
        <v>2706425810</v>
      </c>
      <c r="G70">
        <v>3196991847</v>
      </c>
      <c r="H70">
        <v>3196991847</v>
      </c>
      <c r="I70">
        <v>3196991847</v>
      </c>
      <c r="J70">
        <v>3196991847</v>
      </c>
      <c r="K70">
        <v>3196991847</v>
      </c>
    </row>
    <row r="71" spans="1:11" x14ac:dyDescent="0.3">
      <c r="A71" s="4" t="s">
        <v>60</v>
      </c>
    </row>
    <row r="72" spans="1:11" x14ac:dyDescent="0.3">
      <c r="A72" s="4" t="s">
        <v>73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40</v>
      </c>
    </row>
    <row r="81" spans="1:11" s="15" customFormat="1" x14ac:dyDescent="0.3">
      <c r="A81" s="14" t="s">
        <v>37</v>
      </c>
      <c r="B81" s="11">
        <v>42460</v>
      </c>
      <c r="C81" s="11">
        <v>42825</v>
      </c>
      <c r="D81" s="11">
        <v>43190</v>
      </c>
      <c r="E81" s="11">
        <v>43555</v>
      </c>
      <c r="F81" s="11">
        <v>43921</v>
      </c>
      <c r="G81" s="11">
        <v>44286</v>
      </c>
      <c r="H81" s="11">
        <v>44651</v>
      </c>
      <c r="I81" s="11">
        <v>45016</v>
      </c>
      <c r="J81" s="11">
        <v>45382</v>
      </c>
      <c r="K81" s="11">
        <v>45747</v>
      </c>
    </row>
    <row r="82" spans="1:11" s="1" customFormat="1" x14ac:dyDescent="0.3">
      <c r="A82" s="6" t="s">
        <v>31</v>
      </c>
      <c r="B82">
        <v>7415.12</v>
      </c>
      <c r="C82">
        <v>7014.18</v>
      </c>
      <c r="D82">
        <v>6363.85</v>
      </c>
      <c r="E82">
        <v>4573.79</v>
      </c>
      <c r="F82">
        <v>7375.32</v>
      </c>
      <c r="G82">
        <v>8345.1200000000008</v>
      </c>
      <c r="H82">
        <v>6692.73</v>
      </c>
      <c r="I82">
        <v>7165.59</v>
      </c>
      <c r="J82">
        <v>12504.37</v>
      </c>
      <c r="K82">
        <v>12680.19</v>
      </c>
    </row>
    <row r="83" spans="1:11" s="6" customFormat="1" x14ac:dyDescent="0.3">
      <c r="A83" s="6" t="s">
        <v>32</v>
      </c>
      <c r="B83">
        <v>-1805.22</v>
      </c>
      <c r="C83">
        <v>-7372.73</v>
      </c>
      <c r="D83">
        <v>-1511.65</v>
      </c>
      <c r="E83">
        <v>-272.33999999999997</v>
      </c>
      <c r="F83">
        <v>-492.88</v>
      </c>
      <c r="G83">
        <v>993.33</v>
      </c>
      <c r="H83">
        <v>-6250.47</v>
      </c>
      <c r="I83">
        <v>-7263.1</v>
      </c>
      <c r="J83">
        <v>-8935.3700000000008</v>
      </c>
      <c r="K83">
        <v>-15436.29</v>
      </c>
    </row>
    <row r="84" spans="1:11" s="6" customFormat="1" x14ac:dyDescent="0.3">
      <c r="A84" s="6" t="s">
        <v>33</v>
      </c>
      <c r="B84">
        <v>-6183.45</v>
      </c>
      <c r="C84">
        <v>937.34</v>
      </c>
      <c r="D84">
        <v>-4726.26</v>
      </c>
      <c r="E84">
        <v>-5184.45</v>
      </c>
      <c r="F84">
        <v>-5109.57</v>
      </c>
      <c r="G84">
        <v>-7602.88</v>
      </c>
      <c r="H84">
        <v>-1183.2</v>
      </c>
      <c r="I84">
        <v>1340.77</v>
      </c>
      <c r="J84">
        <v>-4497.43</v>
      </c>
      <c r="K84">
        <v>4292.3900000000003</v>
      </c>
    </row>
    <row r="85" spans="1:11" s="1" customFormat="1" x14ac:dyDescent="0.3">
      <c r="A85" s="6" t="s">
        <v>34</v>
      </c>
      <c r="B85">
        <v>-573.54999999999995</v>
      </c>
      <c r="C85">
        <v>578.79</v>
      </c>
      <c r="D85">
        <v>125.94</v>
      </c>
      <c r="E85">
        <v>-883</v>
      </c>
      <c r="F85">
        <v>1772.87</v>
      </c>
      <c r="G85">
        <v>1735.57</v>
      </c>
      <c r="H85">
        <v>-740.94</v>
      </c>
      <c r="I85">
        <v>1243.26</v>
      </c>
      <c r="J85">
        <v>-928.43</v>
      </c>
      <c r="K85">
        <v>1536.29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62</v>
      </c>
      <c r="B90">
        <v>64.650000000000006</v>
      </c>
      <c r="C90">
        <v>90.35</v>
      </c>
      <c r="D90">
        <v>79</v>
      </c>
      <c r="E90">
        <v>73.8</v>
      </c>
      <c r="F90">
        <v>32.85</v>
      </c>
      <c r="G90">
        <v>103.25</v>
      </c>
      <c r="H90">
        <v>238.65</v>
      </c>
      <c r="I90">
        <v>190.25</v>
      </c>
      <c r="J90">
        <v>394.2</v>
      </c>
      <c r="K90">
        <v>375.4</v>
      </c>
    </row>
    <row r="92" spans="1:11" s="1" customFormat="1" x14ac:dyDescent="0.3">
      <c r="A92" s="1" t="s">
        <v>61</v>
      </c>
    </row>
    <row r="93" spans="1:11" x14ac:dyDescent="0.3">
      <c r="A93" s="4" t="s">
        <v>74</v>
      </c>
      <c r="B93" s="16">
        <v>270.45999999999998</v>
      </c>
      <c r="C93" s="16">
        <v>270.48</v>
      </c>
      <c r="D93" s="16">
        <v>270.48</v>
      </c>
      <c r="E93" s="16">
        <v>270.48</v>
      </c>
      <c r="F93" s="16">
        <v>270.48</v>
      </c>
      <c r="G93" s="16">
        <v>319.52999999999997</v>
      </c>
      <c r="H93" s="16">
        <v>319.52999999999997</v>
      </c>
      <c r="I93" s="16">
        <v>319.52999999999997</v>
      </c>
      <c r="J93" s="16">
        <v>319.52999999999997</v>
      </c>
      <c r="K93" s="16">
        <v>319.52999999999997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721C-C473-4752-9199-C18EA17321C2}">
  <sheetPr>
    <tabColor rgb="FF002060"/>
  </sheetPr>
  <dimension ref="B2:N33"/>
  <sheetViews>
    <sheetView workbookViewId="0">
      <selection activeCell="F4" sqref="F4"/>
    </sheetView>
  </sheetViews>
  <sheetFormatPr defaultRowHeight="14.4" x14ac:dyDescent="0.3"/>
  <cols>
    <col min="2" max="2" width="36.88671875" bestFit="1" customWidth="1"/>
    <col min="3" max="14" width="10.5546875" bestFit="1" customWidth="1"/>
  </cols>
  <sheetData>
    <row r="2" spans="2:14" ht="15" thickBot="1" x14ac:dyDescent="0.35">
      <c r="C2" s="31">
        <v>41699</v>
      </c>
      <c r="D2" s="31">
        <v>42064</v>
      </c>
      <c r="E2" s="31">
        <v>42430</v>
      </c>
      <c r="F2" s="31">
        <v>42795</v>
      </c>
      <c r="G2" s="31">
        <v>43160</v>
      </c>
      <c r="H2" s="31">
        <v>43525</v>
      </c>
      <c r="I2" s="31">
        <v>43891</v>
      </c>
      <c r="J2" s="31">
        <v>44256</v>
      </c>
      <c r="K2" s="31">
        <v>44621</v>
      </c>
      <c r="L2" s="31">
        <v>44986</v>
      </c>
      <c r="M2" s="31">
        <v>45352</v>
      </c>
      <c r="N2" s="31">
        <v>45717</v>
      </c>
    </row>
    <row r="3" spans="2:14" ht="15.6" thickTop="1" thickBot="1" x14ac:dyDescent="0.35">
      <c r="B3" s="32" t="s">
        <v>110</v>
      </c>
      <c r="C3" s="33">
        <v>36151</v>
      </c>
      <c r="D3" s="33">
        <v>35531</v>
      </c>
      <c r="E3" s="33">
        <v>37900</v>
      </c>
      <c r="F3" s="33">
        <v>30199</v>
      </c>
      <c r="G3" s="33">
        <v>23857</v>
      </c>
      <c r="H3" s="33">
        <v>18891</v>
      </c>
      <c r="I3" s="33">
        <v>26633</v>
      </c>
      <c r="J3" s="33">
        <v>29001</v>
      </c>
      <c r="K3" s="33">
        <v>14283</v>
      </c>
      <c r="L3" s="33">
        <v>35388</v>
      </c>
      <c r="M3" s="33">
        <v>67915</v>
      </c>
      <c r="N3" s="33">
        <v>63102</v>
      </c>
    </row>
    <row r="4" spans="2:14" ht="15" thickTop="1" x14ac:dyDescent="0.3">
      <c r="B4" s="34" t="s">
        <v>111</v>
      </c>
      <c r="C4" s="33">
        <v>36303</v>
      </c>
      <c r="D4" s="33">
        <v>43397</v>
      </c>
      <c r="E4" s="33">
        <v>38626</v>
      </c>
      <c r="F4" s="33">
        <v>28840</v>
      </c>
      <c r="G4" s="33">
        <v>33312</v>
      </c>
      <c r="H4" s="33">
        <v>28771</v>
      </c>
      <c r="I4" s="33">
        <v>23352</v>
      </c>
      <c r="J4" s="33">
        <v>31198</v>
      </c>
      <c r="K4" s="33">
        <v>26943</v>
      </c>
      <c r="L4" s="33">
        <v>41694</v>
      </c>
      <c r="M4" s="33">
        <v>65106</v>
      </c>
      <c r="N4" s="33">
        <v>58937</v>
      </c>
    </row>
    <row r="5" spans="2:14" x14ac:dyDescent="0.3">
      <c r="B5" s="35" t="s">
        <v>63</v>
      </c>
      <c r="C5" s="36">
        <v>445</v>
      </c>
      <c r="D5" s="37">
        <v>-3179</v>
      </c>
      <c r="E5" s="37">
        <v>-2223</v>
      </c>
      <c r="F5" s="37">
        <v>-4152</v>
      </c>
      <c r="G5" s="37">
        <v>-10688</v>
      </c>
      <c r="H5" s="37">
        <v>-9109</v>
      </c>
      <c r="I5" s="37">
        <v>9950</v>
      </c>
      <c r="J5" s="37">
        <v>-5505</v>
      </c>
      <c r="K5" s="36">
        <v>185</v>
      </c>
      <c r="L5" s="37">
        <v>-2213</v>
      </c>
      <c r="M5" s="37">
        <v>-1876</v>
      </c>
      <c r="N5" s="37">
        <v>3573</v>
      </c>
    </row>
    <row r="6" spans="2:14" x14ac:dyDescent="0.3">
      <c r="B6" s="35" t="s">
        <v>43</v>
      </c>
      <c r="C6" s="37">
        <v>-2853</v>
      </c>
      <c r="D6" s="37">
        <v>-3692</v>
      </c>
      <c r="E6" s="37">
        <v>-5743</v>
      </c>
      <c r="F6" s="37">
        <v>-6621</v>
      </c>
      <c r="G6" s="37">
        <v>-3560</v>
      </c>
      <c r="H6" s="37">
        <v>2069</v>
      </c>
      <c r="I6" s="37">
        <v>2326</v>
      </c>
      <c r="J6" s="37">
        <v>3814</v>
      </c>
      <c r="K6" s="36">
        <v>472</v>
      </c>
      <c r="L6" s="37">
        <v>-5665</v>
      </c>
      <c r="M6" s="37">
        <v>-7265</v>
      </c>
      <c r="N6" s="37">
        <v>2127</v>
      </c>
    </row>
    <row r="7" spans="2:14" x14ac:dyDescent="0.3">
      <c r="B7" s="35" t="s">
        <v>112</v>
      </c>
      <c r="C7" s="37">
        <v>4694</v>
      </c>
      <c r="D7" s="37">
        <v>3598</v>
      </c>
      <c r="E7" s="37">
        <v>3947</v>
      </c>
      <c r="F7" s="37">
        <v>9301</v>
      </c>
      <c r="G7" s="37">
        <v>7320</v>
      </c>
      <c r="H7" s="37">
        <v>-4692</v>
      </c>
      <c r="I7" s="37">
        <v>-8085</v>
      </c>
      <c r="J7" s="37">
        <v>5748</v>
      </c>
      <c r="K7" s="37">
        <v>-7012</v>
      </c>
      <c r="L7" s="37">
        <v>6945</v>
      </c>
      <c r="M7" s="37">
        <v>13706</v>
      </c>
      <c r="N7" s="37">
        <v>1303</v>
      </c>
    </row>
    <row r="8" spans="2:14" x14ac:dyDescent="0.3">
      <c r="B8" s="35" t="s">
        <v>113</v>
      </c>
      <c r="C8" s="36">
        <v>0</v>
      </c>
      <c r="D8" s="36">
        <v>0</v>
      </c>
      <c r="E8" s="36">
        <v>-520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</row>
    <row r="9" spans="2:14" ht="15" thickBot="1" x14ac:dyDescent="0.35">
      <c r="B9" s="35" t="s">
        <v>114</v>
      </c>
      <c r="C9" s="37">
        <v>1870</v>
      </c>
      <c r="D9" s="36">
        <v>-398</v>
      </c>
      <c r="E9" s="37">
        <v>5852</v>
      </c>
      <c r="F9" s="37">
        <v>4727</v>
      </c>
      <c r="G9" s="36">
        <v>494</v>
      </c>
      <c r="H9" s="37">
        <v>4512</v>
      </c>
      <c r="I9" s="36">
        <v>875</v>
      </c>
      <c r="J9" s="37">
        <v>-4150</v>
      </c>
      <c r="K9" s="37">
        <v>-4396</v>
      </c>
      <c r="L9" s="37">
        <v>-2194</v>
      </c>
      <c r="M9" s="37">
        <v>2760</v>
      </c>
      <c r="N9" s="37">
        <v>1153</v>
      </c>
    </row>
    <row r="10" spans="2:14" ht="15" thickTop="1" x14ac:dyDescent="0.3">
      <c r="B10" s="34" t="s">
        <v>115</v>
      </c>
      <c r="C10" s="33">
        <v>4157</v>
      </c>
      <c r="D10" s="33">
        <v>-3672</v>
      </c>
      <c r="E10" s="33">
        <v>1313</v>
      </c>
      <c r="F10" s="33">
        <v>3254</v>
      </c>
      <c r="G10" s="33">
        <v>-6434</v>
      </c>
      <c r="H10" s="33">
        <v>-7221</v>
      </c>
      <c r="I10" s="33">
        <v>5065</v>
      </c>
      <c r="J10" s="38">
        <v>-93</v>
      </c>
      <c r="K10" s="33">
        <v>-10750</v>
      </c>
      <c r="L10" s="33">
        <v>-3127</v>
      </c>
      <c r="M10" s="33">
        <v>7325</v>
      </c>
      <c r="N10" s="33">
        <v>8156</v>
      </c>
    </row>
    <row r="11" spans="2:14" ht="15" thickBot="1" x14ac:dyDescent="0.35">
      <c r="B11" s="35" t="s">
        <v>116</v>
      </c>
      <c r="C11" s="37">
        <v>-4308</v>
      </c>
      <c r="D11" s="37">
        <v>-4194</v>
      </c>
      <c r="E11" s="37">
        <v>-2040</v>
      </c>
      <c r="F11" s="37">
        <v>-1895</v>
      </c>
      <c r="G11" s="37">
        <v>-3021</v>
      </c>
      <c r="H11" s="37">
        <v>-2659</v>
      </c>
      <c r="I11" s="37">
        <v>-1785</v>
      </c>
      <c r="J11" s="37">
        <v>-2105</v>
      </c>
      <c r="K11" s="37">
        <v>-1910</v>
      </c>
      <c r="L11" s="37">
        <v>-3179</v>
      </c>
      <c r="M11" s="37">
        <v>-4516</v>
      </c>
      <c r="N11" s="37">
        <v>-3991</v>
      </c>
    </row>
    <row r="12" spans="2:14" ht="15" thickTop="1" x14ac:dyDescent="0.3">
      <c r="B12" s="39" t="s">
        <v>117</v>
      </c>
      <c r="C12" s="40">
        <v>-27991</v>
      </c>
      <c r="D12" s="40">
        <v>-36232</v>
      </c>
      <c r="E12" s="40">
        <v>-36694</v>
      </c>
      <c r="F12" s="40">
        <v>-39571</v>
      </c>
      <c r="G12" s="40">
        <v>-25139</v>
      </c>
      <c r="H12" s="40">
        <v>-20878</v>
      </c>
      <c r="I12" s="40">
        <v>-33115</v>
      </c>
      <c r="J12" s="40">
        <v>-25672</v>
      </c>
      <c r="K12" s="40">
        <v>-4444</v>
      </c>
      <c r="L12" s="40">
        <v>-15417</v>
      </c>
      <c r="M12" s="40">
        <v>-22781</v>
      </c>
      <c r="N12" s="40">
        <v>-49982</v>
      </c>
    </row>
    <row r="13" spans="2:14" x14ac:dyDescent="0.3">
      <c r="B13" s="41" t="s">
        <v>118</v>
      </c>
      <c r="C13" s="42">
        <v>-26975</v>
      </c>
      <c r="D13" s="42">
        <v>-31962</v>
      </c>
      <c r="E13" s="42">
        <v>-31503</v>
      </c>
      <c r="F13" s="42">
        <v>-16072</v>
      </c>
      <c r="G13" s="42">
        <v>-35079</v>
      </c>
      <c r="H13" s="42">
        <v>-35304</v>
      </c>
      <c r="I13" s="42">
        <v>-29702</v>
      </c>
      <c r="J13" s="42">
        <v>-20205</v>
      </c>
      <c r="K13" s="42">
        <v>-15168</v>
      </c>
      <c r="L13" s="42">
        <v>-19230</v>
      </c>
      <c r="M13" s="42">
        <v>-31414</v>
      </c>
      <c r="N13" s="42">
        <v>-38042</v>
      </c>
    </row>
    <row r="14" spans="2:14" x14ac:dyDescent="0.3">
      <c r="B14" s="41" t="s">
        <v>119</v>
      </c>
      <c r="C14" s="43">
        <v>50</v>
      </c>
      <c r="D14" s="43">
        <v>74</v>
      </c>
      <c r="E14" s="43">
        <v>59</v>
      </c>
      <c r="F14" s="43">
        <v>53</v>
      </c>
      <c r="G14" s="43">
        <v>30</v>
      </c>
      <c r="H14" s="43">
        <v>67</v>
      </c>
      <c r="I14" s="43">
        <v>171</v>
      </c>
      <c r="J14" s="43">
        <v>351</v>
      </c>
      <c r="K14" s="43">
        <v>230</v>
      </c>
      <c r="L14" s="43">
        <v>285</v>
      </c>
      <c r="M14" s="43">
        <v>231</v>
      </c>
      <c r="N14" s="43">
        <v>974</v>
      </c>
    </row>
    <row r="15" spans="2:14" x14ac:dyDescent="0.3">
      <c r="B15" s="41" t="s">
        <v>120</v>
      </c>
      <c r="C15" s="43">
        <v>-429</v>
      </c>
      <c r="D15" s="42">
        <v>-5461</v>
      </c>
      <c r="E15" s="42">
        <v>-4728</v>
      </c>
      <c r="F15" s="43">
        <v>-6</v>
      </c>
      <c r="G15" s="43">
        <v>-329</v>
      </c>
      <c r="H15" s="43">
        <v>-130</v>
      </c>
      <c r="I15" s="42">
        <v>-1439</v>
      </c>
      <c r="J15" s="42">
        <v>-7530</v>
      </c>
      <c r="K15" s="42">
        <v>-3008</v>
      </c>
      <c r="L15" s="43">
        <v>-50</v>
      </c>
      <c r="M15" s="43">
        <v>-74</v>
      </c>
      <c r="N15" s="42">
        <v>-12677</v>
      </c>
    </row>
    <row r="16" spans="2:14" x14ac:dyDescent="0.3">
      <c r="B16" s="41" t="s">
        <v>121</v>
      </c>
      <c r="C16" s="43">
        <v>4</v>
      </c>
      <c r="D16" s="43">
        <v>42</v>
      </c>
      <c r="E16" s="43">
        <v>89</v>
      </c>
      <c r="F16" s="42">
        <v>1965</v>
      </c>
      <c r="G16" s="42">
        <v>2381</v>
      </c>
      <c r="H16" s="42">
        <v>5644</v>
      </c>
      <c r="I16" s="43">
        <v>21</v>
      </c>
      <c r="J16" s="43">
        <v>226</v>
      </c>
      <c r="K16" s="43">
        <v>104</v>
      </c>
      <c r="L16" s="42">
        <v>6895</v>
      </c>
      <c r="M16" s="42">
        <v>10821</v>
      </c>
      <c r="N16" s="43">
        <v>111</v>
      </c>
    </row>
    <row r="17" spans="2:14" x14ac:dyDescent="0.3">
      <c r="B17" s="41" t="s">
        <v>122</v>
      </c>
      <c r="C17" s="43">
        <v>653</v>
      </c>
      <c r="D17" s="43">
        <v>698</v>
      </c>
      <c r="E17" s="43">
        <v>731</v>
      </c>
      <c r="F17" s="43">
        <v>638</v>
      </c>
      <c r="G17" s="43">
        <v>690</v>
      </c>
      <c r="H17" s="43">
        <v>761</v>
      </c>
      <c r="I17" s="42">
        <v>1104</v>
      </c>
      <c r="J17" s="43">
        <v>428</v>
      </c>
      <c r="K17" s="43">
        <v>653</v>
      </c>
      <c r="L17" s="43">
        <v>973</v>
      </c>
      <c r="M17" s="42">
        <v>2493</v>
      </c>
      <c r="N17" s="42">
        <v>2420</v>
      </c>
    </row>
    <row r="18" spans="2:14" x14ac:dyDescent="0.3">
      <c r="B18" s="41" t="s">
        <v>123</v>
      </c>
      <c r="C18" s="43">
        <v>40</v>
      </c>
      <c r="D18" s="43">
        <v>80</v>
      </c>
      <c r="E18" s="43">
        <v>58</v>
      </c>
      <c r="F18" s="43">
        <v>620</v>
      </c>
      <c r="G18" s="42">
        <v>1797</v>
      </c>
      <c r="H18" s="43">
        <v>232</v>
      </c>
      <c r="I18" s="43">
        <v>21</v>
      </c>
      <c r="J18" s="43">
        <v>18</v>
      </c>
      <c r="K18" s="43">
        <v>32</v>
      </c>
      <c r="L18" s="43">
        <v>46</v>
      </c>
      <c r="M18" s="43">
        <v>47</v>
      </c>
      <c r="N18" s="43">
        <v>64</v>
      </c>
    </row>
    <row r="19" spans="2:14" x14ac:dyDescent="0.3">
      <c r="B19" s="41" t="s">
        <v>124</v>
      </c>
      <c r="C19" s="43">
        <v>0</v>
      </c>
      <c r="D19" s="43">
        <v>-160</v>
      </c>
      <c r="E19" s="43">
        <v>0</v>
      </c>
      <c r="F19" s="43">
        <v>-107</v>
      </c>
      <c r="G19" s="43">
        <v>-4</v>
      </c>
      <c r="H19" s="43">
        <v>-9</v>
      </c>
      <c r="I19" s="43">
        <v>-606</v>
      </c>
      <c r="J19" s="43">
        <v>-10</v>
      </c>
      <c r="K19" s="43">
        <v>0</v>
      </c>
      <c r="L19" s="43">
        <v>0</v>
      </c>
      <c r="M19" s="43">
        <v>-150</v>
      </c>
      <c r="N19" s="43">
        <v>0</v>
      </c>
    </row>
    <row r="20" spans="2:14" x14ac:dyDescent="0.3">
      <c r="B20" s="41" t="s">
        <v>125</v>
      </c>
      <c r="C20" s="43">
        <v>0</v>
      </c>
      <c r="D20" s="43">
        <v>0</v>
      </c>
      <c r="E20" s="43">
        <v>0</v>
      </c>
      <c r="F20" s="43">
        <v>0</v>
      </c>
      <c r="G20" s="43">
        <v>14</v>
      </c>
      <c r="H20" s="43">
        <v>533</v>
      </c>
      <c r="I20" s="43">
        <v>0</v>
      </c>
      <c r="J20" s="43">
        <v>0</v>
      </c>
      <c r="K20" s="43">
        <v>0</v>
      </c>
      <c r="L20" s="43">
        <v>19</v>
      </c>
      <c r="M20" s="43">
        <v>107</v>
      </c>
      <c r="N20" s="43">
        <v>765</v>
      </c>
    </row>
    <row r="21" spans="2:14" x14ac:dyDescent="0.3">
      <c r="B21" s="41" t="s">
        <v>126</v>
      </c>
      <c r="C21" s="43">
        <v>-185</v>
      </c>
      <c r="D21" s="43">
        <v>0</v>
      </c>
      <c r="E21" s="43">
        <v>-111</v>
      </c>
      <c r="F21" s="43">
        <v>0</v>
      </c>
      <c r="G21" s="43">
        <v>0</v>
      </c>
      <c r="H21" s="43">
        <v>-8</v>
      </c>
      <c r="I21" s="43">
        <v>-27</v>
      </c>
      <c r="J21" s="43">
        <v>0</v>
      </c>
      <c r="K21" s="43">
        <v>-98</v>
      </c>
      <c r="L21" s="43">
        <v>0</v>
      </c>
      <c r="M21" s="43">
        <v>0</v>
      </c>
      <c r="N21" s="43">
        <v>-688</v>
      </c>
    </row>
    <row r="22" spans="2:14" x14ac:dyDescent="0.3">
      <c r="B22" s="41" t="s">
        <v>127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-25</v>
      </c>
      <c r="N22" s="43">
        <v>-20</v>
      </c>
    </row>
    <row r="23" spans="2:14" ht="15" thickBot="1" x14ac:dyDescent="0.35">
      <c r="B23" s="41" t="s">
        <v>128</v>
      </c>
      <c r="C23" s="42">
        <v>-1149</v>
      </c>
      <c r="D23" s="43">
        <v>456</v>
      </c>
      <c r="E23" s="42">
        <v>-1289</v>
      </c>
      <c r="F23" s="42">
        <v>-26663</v>
      </c>
      <c r="G23" s="42">
        <v>5360</v>
      </c>
      <c r="H23" s="42">
        <v>7335</v>
      </c>
      <c r="I23" s="42">
        <v>-2659</v>
      </c>
      <c r="J23" s="42">
        <v>1051</v>
      </c>
      <c r="K23" s="42">
        <v>12813</v>
      </c>
      <c r="L23" s="42">
        <v>-4357</v>
      </c>
      <c r="M23" s="42">
        <v>-4817</v>
      </c>
      <c r="N23" s="42">
        <v>-2889</v>
      </c>
    </row>
    <row r="24" spans="2:14" ht="15" thickTop="1" x14ac:dyDescent="0.3">
      <c r="B24" s="32" t="s">
        <v>129</v>
      </c>
      <c r="C24" s="33">
        <v>-3883</v>
      </c>
      <c r="D24" s="33">
        <v>5201</v>
      </c>
      <c r="E24" s="33">
        <v>-3795</v>
      </c>
      <c r="F24" s="33">
        <v>6205</v>
      </c>
      <c r="G24" s="33">
        <v>2012</v>
      </c>
      <c r="H24" s="33">
        <v>8830</v>
      </c>
      <c r="I24" s="33">
        <v>3390</v>
      </c>
      <c r="J24" s="33">
        <v>9904</v>
      </c>
      <c r="K24" s="33">
        <v>-3380</v>
      </c>
      <c r="L24" s="33">
        <v>-26243</v>
      </c>
      <c r="M24" s="33">
        <v>-37006</v>
      </c>
      <c r="N24" s="33">
        <v>-18786</v>
      </c>
    </row>
    <row r="25" spans="2:14" x14ac:dyDescent="0.3">
      <c r="B25" s="35" t="s">
        <v>130</v>
      </c>
      <c r="C25" s="36">
        <v>0</v>
      </c>
      <c r="D25" s="36">
        <v>0</v>
      </c>
      <c r="E25" s="37">
        <v>7433</v>
      </c>
      <c r="F25" s="36">
        <v>5</v>
      </c>
      <c r="G25" s="36">
        <v>0</v>
      </c>
      <c r="H25" s="36">
        <v>0</v>
      </c>
      <c r="I25" s="37">
        <v>3889</v>
      </c>
      <c r="J25" s="37">
        <v>2603</v>
      </c>
      <c r="K25" s="36">
        <v>19</v>
      </c>
      <c r="L25" s="36">
        <v>20</v>
      </c>
      <c r="M25" s="36">
        <v>82</v>
      </c>
      <c r="N25" s="37">
        <v>1108</v>
      </c>
    </row>
    <row r="26" spans="2:14" x14ac:dyDescent="0.3">
      <c r="B26" s="35" t="s">
        <v>131</v>
      </c>
      <c r="C26" s="36">
        <v>-658</v>
      </c>
      <c r="D26" s="36">
        <v>-744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</row>
    <row r="27" spans="2:14" x14ac:dyDescent="0.3">
      <c r="B27" s="35" t="s">
        <v>132</v>
      </c>
      <c r="C27" s="37">
        <v>33258</v>
      </c>
      <c r="D27" s="37">
        <v>36363</v>
      </c>
      <c r="E27" s="37">
        <v>19519</v>
      </c>
      <c r="F27" s="37">
        <v>33390</v>
      </c>
      <c r="G27" s="37">
        <v>37482</v>
      </c>
      <c r="H27" s="37">
        <v>51128</v>
      </c>
      <c r="I27" s="37">
        <v>38297</v>
      </c>
      <c r="J27" s="37">
        <v>46641</v>
      </c>
      <c r="K27" s="37">
        <v>46578</v>
      </c>
      <c r="L27" s="37">
        <v>43934</v>
      </c>
      <c r="M27" s="37">
        <v>18829</v>
      </c>
      <c r="N27" s="37">
        <v>13384</v>
      </c>
    </row>
    <row r="28" spans="2:14" x14ac:dyDescent="0.3">
      <c r="B28" s="35" t="s">
        <v>133</v>
      </c>
      <c r="C28" s="37">
        <v>-29141</v>
      </c>
      <c r="D28" s="37">
        <v>-23332</v>
      </c>
      <c r="E28" s="37">
        <v>-24924</v>
      </c>
      <c r="F28" s="37">
        <v>-21732</v>
      </c>
      <c r="G28" s="37">
        <v>-29964</v>
      </c>
      <c r="H28" s="37">
        <v>-35198</v>
      </c>
      <c r="I28" s="37">
        <v>-29847</v>
      </c>
      <c r="J28" s="37">
        <v>-29709</v>
      </c>
      <c r="K28" s="37">
        <v>-42816</v>
      </c>
      <c r="L28" s="37">
        <v>-62557</v>
      </c>
      <c r="M28" s="37">
        <v>-47414</v>
      </c>
      <c r="N28" s="37">
        <v>-21443</v>
      </c>
    </row>
    <row r="29" spans="2:14" x14ac:dyDescent="0.3">
      <c r="B29" s="35" t="s">
        <v>134</v>
      </c>
      <c r="C29" s="37">
        <v>-6171</v>
      </c>
      <c r="D29" s="37">
        <v>-6307</v>
      </c>
      <c r="E29" s="37">
        <v>-5716</v>
      </c>
      <c r="F29" s="37">
        <v>-5336</v>
      </c>
      <c r="G29" s="37">
        <v>-5411</v>
      </c>
      <c r="H29" s="37">
        <v>-7005</v>
      </c>
      <c r="I29" s="37">
        <v>-7518</v>
      </c>
      <c r="J29" s="37">
        <v>-8123</v>
      </c>
      <c r="K29" s="37">
        <v>-9251</v>
      </c>
      <c r="L29" s="37">
        <v>-9336</v>
      </c>
      <c r="M29" s="37">
        <v>-9332</v>
      </c>
      <c r="N29" s="37">
        <v>-5814</v>
      </c>
    </row>
    <row r="30" spans="2:14" x14ac:dyDescent="0.3">
      <c r="B30" s="35" t="s">
        <v>135</v>
      </c>
      <c r="C30" s="36">
        <v>-722</v>
      </c>
      <c r="D30" s="36">
        <v>-720</v>
      </c>
      <c r="E30" s="36">
        <v>-108</v>
      </c>
      <c r="F30" s="36">
        <v>-121</v>
      </c>
      <c r="G30" s="36">
        <v>-96</v>
      </c>
      <c r="H30" s="36">
        <v>-95</v>
      </c>
      <c r="I30" s="36">
        <v>-57</v>
      </c>
      <c r="J30" s="36">
        <v>-30</v>
      </c>
      <c r="K30" s="36">
        <v>-100</v>
      </c>
      <c r="L30" s="36">
        <v>-141</v>
      </c>
      <c r="M30" s="37">
        <v>-1059</v>
      </c>
      <c r="N30" s="37">
        <v>-2492</v>
      </c>
    </row>
    <row r="31" spans="2:14" x14ac:dyDescent="0.3">
      <c r="B31" s="35" t="s">
        <v>136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7">
        <v>-1346</v>
      </c>
      <c r="J31" s="37">
        <v>-1477</v>
      </c>
      <c r="K31" s="37">
        <v>-1559</v>
      </c>
      <c r="L31" s="37">
        <v>-1517</v>
      </c>
      <c r="M31" s="37">
        <v>-1924</v>
      </c>
      <c r="N31" s="37">
        <v>-2393</v>
      </c>
    </row>
    <row r="32" spans="2:14" ht="15" thickBot="1" x14ac:dyDescent="0.35">
      <c r="B32" s="35" t="s">
        <v>137</v>
      </c>
      <c r="C32" s="36">
        <v>-450</v>
      </c>
      <c r="D32" s="36">
        <v>-57</v>
      </c>
      <c r="E32" s="36">
        <v>0</v>
      </c>
      <c r="F32" s="36">
        <v>0</v>
      </c>
      <c r="G32" s="36">
        <v>0</v>
      </c>
      <c r="H32" s="36">
        <v>0</v>
      </c>
      <c r="I32" s="36">
        <v>-29</v>
      </c>
      <c r="J32" s="36">
        <v>0</v>
      </c>
      <c r="K32" s="37">
        <v>3750</v>
      </c>
      <c r="L32" s="37">
        <v>3355</v>
      </c>
      <c r="M32" s="37">
        <v>3812</v>
      </c>
      <c r="N32" s="37">
        <v>-1136</v>
      </c>
    </row>
    <row r="33" spans="2:14" ht="15" thickTop="1" x14ac:dyDescent="0.3">
      <c r="B33" s="39" t="s">
        <v>34</v>
      </c>
      <c r="C33" s="40">
        <v>4277</v>
      </c>
      <c r="D33" s="40">
        <v>4500</v>
      </c>
      <c r="E33" s="40">
        <v>-2589</v>
      </c>
      <c r="F33" s="40">
        <v>-3167</v>
      </c>
      <c r="G33" s="44">
        <v>730</v>
      </c>
      <c r="H33" s="40">
        <v>6843</v>
      </c>
      <c r="I33" s="40">
        <v>-3092</v>
      </c>
      <c r="J33" s="40">
        <v>13232</v>
      </c>
      <c r="K33" s="40">
        <v>6459</v>
      </c>
      <c r="L33" s="40">
        <v>-6272</v>
      </c>
      <c r="M33" s="40">
        <v>8128</v>
      </c>
      <c r="N33" s="40">
        <v>-5666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HistoricalFS</vt:lpstr>
      <vt:lpstr>Ratio Analysis</vt:lpstr>
      <vt:lpstr>Data &gt;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negiaayush1810@gmail.com</cp:lastModifiedBy>
  <cp:lastPrinted>2025-07-20T04:43:10Z</cp:lastPrinted>
  <dcterms:created xsi:type="dcterms:W3CDTF">2012-08-17T09:55:37Z</dcterms:created>
  <dcterms:modified xsi:type="dcterms:W3CDTF">2026-01-30T10:01:41Z</dcterms:modified>
</cp:coreProperties>
</file>