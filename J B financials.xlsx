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cuments\Financial modelling\"/>
    </mc:Choice>
  </mc:AlternateContent>
  <xr:revisionPtr revIDLastSave="0" documentId="13_ncr:1_{B2DCFC1D-5710-4EA0-8FFE-8464855AD5A3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Profit &amp; Loss" sheetId="1" r:id="rId1"/>
    <sheet name="Financials&gt;" sheetId="15" r:id="rId2"/>
    <sheet name="Historicals&gt;" sheetId="18" r:id="rId3"/>
    <sheet name="Ratio Analysis" sheetId="20" r:id="rId4"/>
    <sheet name="Forecasting" sheetId="22" r:id="rId5"/>
    <sheet name="Data &gt;" sheetId="17" r:id="rId6"/>
    <sheet name="Data Sheet" sheetId="6" r:id="rId7"/>
    <sheet name="Cash Flow Statement" sheetId="19" r:id="rId8"/>
  </sheets>
  <externalReferences>
    <externalReference r:id="rId9"/>
  </externalReferences>
  <definedNames>
    <definedName name="_xlnm.Print_Area" localSheetId="2">'Historicals&gt;'!$A$1:$M$93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20" l="1"/>
  <c r="E3" i="20"/>
  <c r="F3" i="20"/>
  <c r="G3" i="20"/>
  <c r="H3" i="20"/>
  <c r="I3" i="20"/>
  <c r="J3" i="20"/>
  <c r="K3" i="20"/>
  <c r="L3" i="20"/>
  <c r="C3" i="20"/>
  <c r="N16" i="22" l="1"/>
  <c r="N15" i="22"/>
  <c r="B3" i="22"/>
  <c r="G3" i="22"/>
  <c r="L3" i="22"/>
  <c r="L6" i="22"/>
  <c r="L7" i="22" s="1"/>
  <c r="L8" i="22" s="1"/>
  <c r="L9" i="22" s="1"/>
  <c r="L10" i="22" s="1"/>
  <c r="L11" i="22" s="1"/>
  <c r="L12" i="22" s="1"/>
  <c r="L13" i="22" s="1"/>
  <c r="L14" i="22" s="1"/>
  <c r="L15" i="22" s="1"/>
  <c r="M5" i="22"/>
  <c r="M6" i="22" s="1"/>
  <c r="M7" i="22" s="1"/>
  <c r="M8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L16" i="22" l="1"/>
  <c r="L17" i="22" l="1"/>
  <c r="L18" i="22" l="1"/>
  <c r="L19" i="22" l="1"/>
  <c r="H5" i="22" l="1"/>
  <c r="H6" i="22" s="1"/>
  <c r="H7" i="22" s="1"/>
  <c r="H8" i="22" s="1"/>
  <c r="H9" i="22" s="1"/>
  <c r="H10" i="22" s="1"/>
  <c r="H11" i="22" s="1"/>
  <c r="H12" i="22" s="1"/>
  <c r="H13" i="22" s="1"/>
  <c r="H14" i="22" s="1"/>
  <c r="H15" i="22" s="1"/>
  <c r="H16" i="22" s="1"/>
  <c r="H17" i="22" s="1"/>
  <c r="H18" i="22" s="1"/>
  <c r="H19" i="22" s="1"/>
  <c r="C5" i="22"/>
  <c r="G6" i="22"/>
  <c r="G7" i="22" s="1"/>
  <c r="G8" i="22" s="1"/>
  <c r="G9" i="22" s="1"/>
  <c r="G10" i="22" s="1"/>
  <c r="G11" i="22" s="1"/>
  <c r="G12" i="22" s="1"/>
  <c r="G13" i="22" s="1"/>
  <c r="G14" i="22" s="1"/>
  <c r="G15" i="22" s="1"/>
  <c r="D16" i="22"/>
  <c r="D17" i="22"/>
  <c r="D18" i="22"/>
  <c r="D19" i="22"/>
  <c r="D15" i="22"/>
  <c r="D5" i="22" a="1"/>
  <c r="D5" i="22" s="1"/>
  <c r="C6" i="22"/>
  <c r="C7" i="22" s="1"/>
  <c r="C8" i="22" s="1"/>
  <c r="C9" i="22" s="1"/>
  <c r="C10" i="22" s="1"/>
  <c r="C11" i="22" s="1"/>
  <c r="C12" i="22" s="1"/>
  <c r="C13" i="22" s="1"/>
  <c r="C14" i="22" s="1"/>
  <c r="C15" i="22" s="1"/>
  <c r="C16" i="22" s="1"/>
  <c r="C17" i="22" s="1"/>
  <c r="C18" i="22" s="1"/>
  <c r="C19" i="22" s="1"/>
  <c r="B6" i="22"/>
  <c r="B7" i="22" s="1"/>
  <c r="B8" i="22" s="1"/>
  <c r="B9" i="22" s="1"/>
  <c r="B10" i="22" s="1"/>
  <c r="B11" i="22" s="1"/>
  <c r="B12" i="22" s="1"/>
  <c r="B13" i="22" s="1"/>
  <c r="B14" i="22" s="1"/>
  <c r="B15" i="22" s="1"/>
  <c r="D15" i="17"/>
  <c r="D16" i="17"/>
  <c r="D17" i="17"/>
  <c r="D18" i="17"/>
  <c r="D14" i="17"/>
  <c r="G16" i="22" l="1"/>
  <c r="D14" i="22"/>
  <c r="D7" i="22"/>
  <c r="D6" i="22"/>
  <c r="E6" i="22" s="1"/>
  <c r="D13" i="22"/>
  <c r="D12" i="22"/>
  <c r="D11" i="22"/>
  <c r="D10" i="22"/>
  <c r="E10" i="22" s="1"/>
  <c r="D9" i="22"/>
  <c r="D8" i="22"/>
  <c r="B16" i="22"/>
  <c r="G17" i="22" l="1"/>
  <c r="E11" i="22"/>
  <c r="E15" i="22"/>
  <c r="E12" i="22"/>
  <c r="E7" i="22"/>
  <c r="E14" i="22"/>
  <c r="E8" i="22"/>
  <c r="E13" i="22"/>
  <c r="E9" i="22"/>
  <c r="E16" i="22"/>
  <c r="B17" i="22"/>
  <c r="G18" i="22" l="1"/>
  <c r="B18" i="22"/>
  <c r="E17" i="22"/>
  <c r="C41" i="20"/>
  <c r="D39" i="20"/>
  <c r="E39" i="20"/>
  <c r="G39" i="20"/>
  <c r="D78" i="18"/>
  <c r="E78" i="18"/>
  <c r="F78" i="18"/>
  <c r="G78" i="18"/>
  <c r="D76" i="18"/>
  <c r="E76" i="18"/>
  <c r="F76" i="18"/>
  <c r="G76" i="18"/>
  <c r="H76" i="18"/>
  <c r="H78" i="18" s="1"/>
  <c r="I76" i="18"/>
  <c r="I78" i="18" s="1"/>
  <c r="J76" i="18"/>
  <c r="J78" i="18" s="1"/>
  <c r="K76" i="18"/>
  <c r="K78" i="18" s="1"/>
  <c r="L76" i="18"/>
  <c r="L78" i="18" s="1"/>
  <c r="C76" i="18"/>
  <c r="C78" i="18" s="1"/>
  <c r="D74" i="18"/>
  <c r="E74" i="18"/>
  <c r="F74" i="18"/>
  <c r="G74" i="18"/>
  <c r="H74" i="18"/>
  <c r="I74" i="18"/>
  <c r="J74" i="18"/>
  <c r="K74" i="18"/>
  <c r="L74" i="18"/>
  <c r="C74" i="18"/>
  <c r="D72" i="18"/>
  <c r="D41" i="20" s="1"/>
  <c r="E72" i="18"/>
  <c r="E41" i="20" s="1"/>
  <c r="F72" i="18"/>
  <c r="G72" i="18"/>
  <c r="H72" i="18"/>
  <c r="H39" i="20" s="1"/>
  <c r="I72" i="18"/>
  <c r="I39" i="20" s="1"/>
  <c r="J72" i="18"/>
  <c r="J39" i="20" s="1"/>
  <c r="K72" i="18"/>
  <c r="K41" i="20" s="1"/>
  <c r="L72" i="18"/>
  <c r="L41" i="20" s="1"/>
  <c r="C72" i="18"/>
  <c r="C39" i="20" s="1"/>
  <c r="C31" i="20"/>
  <c r="D30" i="20"/>
  <c r="E30" i="20"/>
  <c r="G30" i="20"/>
  <c r="E29" i="20"/>
  <c r="E36" i="20" s="1"/>
  <c r="F29" i="20"/>
  <c r="F36" i="20" s="1"/>
  <c r="G29" i="20"/>
  <c r="G36" i="20" s="1"/>
  <c r="E28" i="20"/>
  <c r="E35" i="20" s="1"/>
  <c r="F28" i="20"/>
  <c r="F35" i="20" s="1"/>
  <c r="G28" i="20"/>
  <c r="G35" i="20" s="1"/>
  <c r="H28" i="20"/>
  <c r="H35" i="20" s="1"/>
  <c r="I28" i="20"/>
  <c r="I35" i="20" s="1"/>
  <c r="H27" i="20"/>
  <c r="J27" i="20"/>
  <c r="J34" i="20" s="1"/>
  <c r="K27" i="20"/>
  <c r="K34" i="20" s="1"/>
  <c r="E18" i="20"/>
  <c r="F18" i="20"/>
  <c r="J17" i="20"/>
  <c r="D11" i="20"/>
  <c r="F11" i="20"/>
  <c r="E9" i="20"/>
  <c r="F9" i="20"/>
  <c r="F5" i="20"/>
  <c r="G5" i="20"/>
  <c r="B2" i="20"/>
  <c r="L15" i="20"/>
  <c r="K15" i="20"/>
  <c r="J15" i="20"/>
  <c r="I15" i="20"/>
  <c r="H15" i="20"/>
  <c r="G15" i="20"/>
  <c r="F15" i="20"/>
  <c r="E15" i="20"/>
  <c r="D15" i="20"/>
  <c r="C15" i="20"/>
  <c r="Q2" i="17"/>
  <c r="L2" i="17"/>
  <c r="B2" i="17"/>
  <c r="Q6" i="17"/>
  <c r="Q7" i="17" s="1"/>
  <c r="Q8" i="17" s="1"/>
  <c r="Q9" i="17" s="1"/>
  <c r="Q10" i="17" s="1"/>
  <c r="Q11" i="17" s="1"/>
  <c r="Q12" i="17" s="1"/>
  <c r="Q13" i="17" s="1"/>
  <c r="Q14" i="17" s="1"/>
  <c r="L6" i="17"/>
  <c r="L7" i="17" s="1"/>
  <c r="L8" i="17" s="1"/>
  <c r="L9" i="17" s="1"/>
  <c r="L10" i="17" s="1"/>
  <c r="L11" i="17" s="1"/>
  <c r="L12" i="17" s="1"/>
  <c r="L13" i="17" s="1"/>
  <c r="L14" i="17" s="1"/>
  <c r="Q5" i="17"/>
  <c r="L5" i="17"/>
  <c r="B5" i="17"/>
  <c r="B6" i="17" s="1"/>
  <c r="B7" i="17" s="1"/>
  <c r="B8" i="17" s="1"/>
  <c r="B9" i="17" s="1"/>
  <c r="B10" i="17" s="1"/>
  <c r="B11" i="17" s="1"/>
  <c r="B12" i="17" s="1"/>
  <c r="B13" i="17" s="1"/>
  <c r="S4" i="17" a="1"/>
  <c r="S10" i="17" s="1"/>
  <c r="R4" i="17"/>
  <c r="R5" i="17" s="1"/>
  <c r="R6" i="17" s="1"/>
  <c r="R7" i="17" s="1"/>
  <c r="R8" i="17" s="1"/>
  <c r="R9" i="17" s="1"/>
  <c r="R10" i="17" s="1"/>
  <c r="R11" i="17" s="1"/>
  <c r="R12" i="17" s="1"/>
  <c r="R13" i="17" s="1"/>
  <c r="R14" i="17" s="1"/>
  <c r="R15" i="17" s="1"/>
  <c r="R16" i="17" s="1"/>
  <c r="R17" i="17" s="1"/>
  <c r="R18" i="17" s="1"/>
  <c r="N4" i="17" a="1"/>
  <c r="N10" i="17" s="1"/>
  <c r="M4" i="17"/>
  <c r="M5" i="17" s="1"/>
  <c r="M6" i="17" s="1"/>
  <c r="M7" i="17" s="1"/>
  <c r="M8" i="17" s="1"/>
  <c r="M9" i="17" s="1"/>
  <c r="M10" i="17" s="1"/>
  <c r="M11" i="17" s="1"/>
  <c r="M12" i="17" s="1"/>
  <c r="M13" i="17" s="1"/>
  <c r="M14" i="17" s="1"/>
  <c r="M15" i="17" s="1"/>
  <c r="M16" i="17" s="1"/>
  <c r="M17" i="17" s="1"/>
  <c r="M18" i="17" s="1"/>
  <c r="E12" i="17"/>
  <c r="C4" i="17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D15" i="18"/>
  <c r="E15" i="18"/>
  <c r="F15" i="18"/>
  <c r="G15" i="18"/>
  <c r="G16" i="18" s="1"/>
  <c r="H15" i="18"/>
  <c r="I15" i="18"/>
  <c r="I16" i="18" s="1"/>
  <c r="J15" i="18"/>
  <c r="J16" i="18" s="1"/>
  <c r="K15" i="18"/>
  <c r="K16" i="18" s="1"/>
  <c r="L15" i="18"/>
  <c r="B2" i="18"/>
  <c r="C3" i="18"/>
  <c r="D3" i="18"/>
  <c r="E3" i="18"/>
  <c r="F3" i="18"/>
  <c r="G3" i="18"/>
  <c r="H3" i="18"/>
  <c r="I3" i="18"/>
  <c r="J3" i="18"/>
  <c r="K3" i="18"/>
  <c r="L3" i="18"/>
  <c r="C6" i="18"/>
  <c r="D6" i="18"/>
  <c r="D27" i="20" s="1"/>
  <c r="D34" i="20" s="1"/>
  <c r="E6" i="18"/>
  <c r="E27" i="20" s="1"/>
  <c r="E34" i="20" s="1"/>
  <c r="F6" i="18"/>
  <c r="F7" i="18" s="1"/>
  <c r="G6" i="18"/>
  <c r="G7" i="18" s="1"/>
  <c r="H6" i="18"/>
  <c r="I6" i="18"/>
  <c r="J6" i="18"/>
  <c r="J30" i="20" s="1"/>
  <c r="K6" i="18"/>
  <c r="K30" i="20" s="1"/>
  <c r="L6" i="18"/>
  <c r="L7" i="18" s="1"/>
  <c r="L5" i="20" s="1"/>
  <c r="M6" i="18"/>
  <c r="M16" i="18" s="1"/>
  <c r="E7" i="18"/>
  <c r="E5" i="20" s="1"/>
  <c r="C9" i="18"/>
  <c r="C10" i="18" s="1"/>
  <c r="C17" i="20" s="1"/>
  <c r="D9" i="18"/>
  <c r="D12" i="18" s="1"/>
  <c r="D13" i="18" s="1"/>
  <c r="E9" i="18"/>
  <c r="E12" i="18" s="1"/>
  <c r="E13" i="18" s="1"/>
  <c r="E11" i="20" s="1"/>
  <c r="F9" i="18"/>
  <c r="F12" i="18" s="1"/>
  <c r="F13" i="18" s="1"/>
  <c r="G9" i="18"/>
  <c r="H9" i="18"/>
  <c r="H29" i="20" s="1"/>
  <c r="H36" i="20" s="1"/>
  <c r="I9" i="18"/>
  <c r="I10" i="18" s="1"/>
  <c r="I17" i="20" s="1"/>
  <c r="J9" i="18"/>
  <c r="J10" i="18" s="1"/>
  <c r="K9" i="18"/>
  <c r="K29" i="20" s="1"/>
  <c r="K36" i="20" s="1"/>
  <c r="L9" i="18"/>
  <c r="L10" i="18" s="1"/>
  <c r="L17" i="20" s="1"/>
  <c r="M9" i="18"/>
  <c r="G10" i="18"/>
  <c r="G17" i="20" s="1"/>
  <c r="G12" i="18"/>
  <c r="G13" i="18" s="1"/>
  <c r="G11" i="20" s="1"/>
  <c r="H12" i="18"/>
  <c r="H13" i="18" s="1"/>
  <c r="H11" i="20" s="1"/>
  <c r="C15" i="18"/>
  <c r="C18" i="18"/>
  <c r="D18" i="18"/>
  <c r="E18" i="18"/>
  <c r="F18" i="18"/>
  <c r="G18" i="18"/>
  <c r="H18" i="18"/>
  <c r="I18" i="18"/>
  <c r="J18" i="18"/>
  <c r="K18" i="18"/>
  <c r="L18" i="18"/>
  <c r="M18" i="18"/>
  <c r="C23" i="18"/>
  <c r="C24" i="18" s="1"/>
  <c r="D23" i="18"/>
  <c r="E23" i="18"/>
  <c r="F23" i="18"/>
  <c r="G23" i="18"/>
  <c r="G24" i="18" s="1"/>
  <c r="H23" i="18"/>
  <c r="H24" i="18" s="1"/>
  <c r="I23" i="18"/>
  <c r="J23" i="18"/>
  <c r="J24" i="18" s="1"/>
  <c r="K23" i="18"/>
  <c r="K24" i="18" s="1"/>
  <c r="L23" i="18"/>
  <c r="M23" i="18"/>
  <c r="E24" i="18"/>
  <c r="C26" i="18"/>
  <c r="C27" i="18" s="1"/>
  <c r="C18" i="20" s="1"/>
  <c r="D26" i="18"/>
  <c r="E26" i="18"/>
  <c r="E27" i="18" s="1"/>
  <c r="F26" i="18"/>
  <c r="F27" i="18" s="1"/>
  <c r="G26" i="18"/>
  <c r="G27" i="18" s="1"/>
  <c r="G18" i="20" s="1"/>
  <c r="H26" i="18"/>
  <c r="H27" i="18" s="1"/>
  <c r="H18" i="20" s="1"/>
  <c r="I26" i="18"/>
  <c r="I27" i="18" s="1"/>
  <c r="I18" i="20" s="1"/>
  <c r="J26" i="18"/>
  <c r="J27" i="18" s="1"/>
  <c r="J18" i="20" s="1"/>
  <c r="K26" i="18"/>
  <c r="L26" i="18"/>
  <c r="M26" i="18"/>
  <c r="C32" i="18"/>
  <c r="D32" i="18"/>
  <c r="E32" i="18"/>
  <c r="F32" i="18"/>
  <c r="G32" i="18"/>
  <c r="H32" i="18"/>
  <c r="I32" i="18"/>
  <c r="J32" i="18"/>
  <c r="K32" i="18"/>
  <c r="L32" i="18"/>
  <c r="M32" i="18"/>
  <c r="C38" i="18"/>
  <c r="D38" i="18"/>
  <c r="E38" i="18"/>
  <c r="F38" i="18"/>
  <c r="G38" i="18"/>
  <c r="G43" i="18" s="1"/>
  <c r="G9" i="20" s="1"/>
  <c r="H38" i="18"/>
  <c r="H43" i="18" s="1"/>
  <c r="H9" i="20" s="1"/>
  <c r="I38" i="18"/>
  <c r="I43" i="18" s="1"/>
  <c r="I9" i="20" s="1"/>
  <c r="J38" i="18"/>
  <c r="J43" i="18" s="1"/>
  <c r="J9" i="20" s="1"/>
  <c r="K38" i="18"/>
  <c r="K43" i="18" s="1"/>
  <c r="K9" i="20" s="1"/>
  <c r="L38" i="18"/>
  <c r="L43" i="18" s="1"/>
  <c r="L9" i="20" s="1"/>
  <c r="C43" i="18"/>
  <c r="D43" i="18"/>
  <c r="D9" i="20" s="1"/>
  <c r="O9" i="20" s="1"/>
  <c r="E43" i="18"/>
  <c r="F43" i="18"/>
  <c r="C49" i="18"/>
  <c r="D49" i="18"/>
  <c r="E49" i="18"/>
  <c r="E31" i="20" s="1"/>
  <c r="F49" i="18"/>
  <c r="G49" i="18"/>
  <c r="H49" i="18"/>
  <c r="I49" i="18"/>
  <c r="J49" i="18"/>
  <c r="K49" i="18"/>
  <c r="L49" i="18"/>
  <c r="C50" i="18"/>
  <c r="D50" i="18"/>
  <c r="E50" i="18"/>
  <c r="F50" i="18"/>
  <c r="G50" i="18"/>
  <c r="H50" i="18"/>
  <c r="H53" i="18" s="1"/>
  <c r="I50" i="18"/>
  <c r="J50" i="18"/>
  <c r="K50" i="18"/>
  <c r="L50" i="18"/>
  <c r="C51" i="18"/>
  <c r="D51" i="18"/>
  <c r="E51" i="18"/>
  <c r="F51" i="18"/>
  <c r="G51" i="18"/>
  <c r="H51" i="18"/>
  <c r="I51" i="18"/>
  <c r="J51" i="18"/>
  <c r="K51" i="18"/>
  <c r="L51" i="18"/>
  <c r="C52" i="18"/>
  <c r="D52" i="18"/>
  <c r="E52" i="18"/>
  <c r="F52" i="18"/>
  <c r="G52" i="18"/>
  <c r="H52" i="18"/>
  <c r="I52" i="18"/>
  <c r="J52" i="18"/>
  <c r="K52" i="18"/>
  <c r="L52" i="18"/>
  <c r="G53" i="18"/>
  <c r="C55" i="18"/>
  <c r="C30" i="20" s="1"/>
  <c r="D55" i="18"/>
  <c r="E55" i="18"/>
  <c r="F55" i="18"/>
  <c r="G55" i="18"/>
  <c r="H55" i="18"/>
  <c r="I55" i="18"/>
  <c r="J55" i="18"/>
  <c r="J59" i="18" s="1"/>
  <c r="K55" i="18"/>
  <c r="L55" i="18"/>
  <c r="C56" i="18"/>
  <c r="D56" i="18"/>
  <c r="E56" i="18"/>
  <c r="E59" i="18" s="1"/>
  <c r="F56" i="18"/>
  <c r="G56" i="18"/>
  <c r="H56" i="18"/>
  <c r="I56" i="18"/>
  <c r="J56" i="18"/>
  <c r="K56" i="18"/>
  <c r="L56" i="18"/>
  <c r="C57" i="18"/>
  <c r="D57" i="18"/>
  <c r="E57" i="18"/>
  <c r="F57" i="18"/>
  <c r="G57" i="18"/>
  <c r="H57" i="18"/>
  <c r="I57" i="18"/>
  <c r="J57" i="18"/>
  <c r="K57" i="18"/>
  <c r="L57" i="18"/>
  <c r="C58" i="18"/>
  <c r="D58" i="18"/>
  <c r="E58" i="18"/>
  <c r="F58" i="18"/>
  <c r="F59" i="18" s="1"/>
  <c r="G58" i="18"/>
  <c r="H58" i="18"/>
  <c r="I58" i="18"/>
  <c r="J58" i="18"/>
  <c r="K58" i="18"/>
  <c r="L58" i="18"/>
  <c r="C61" i="18"/>
  <c r="C64" i="18" s="1"/>
  <c r="D61" i="18"/>
  <c r="D64" i="18" s="1"/>
  <c r="E61" i="18"/>
  <c r="E64" i="18" s="1"/>
  <c r="F61" i="18"/>
  <c r="F64" i="18" s="1"/>
  <c r="G61" i="18"/>
  <c r="G64" i="18" s="1"/>
  <c r="H61" i="18"/>
  <c r="I61" i="18"/>
  <c r="I27" i="20" s="1"/>
  <c r="I34" i="20" s="1"/>
  <c r="J61" i="18"/>
  <c r="K61" i="18"/>
  <c r="L61" i="18"/>
  <c r="C62" i="18"/>
  <c r="D62" i="18"/>
  <c r="E62" i="18"/>
  <c r="F62" i="18"/>
  <c r="G62" i="18"/>
  <c r="H62" i="18"/>
  <c r="I62" i="18"/>
  <c r="I64" i="18" s="1"/>
  <c r="J62" i="18"/>
  <c r="K62" i="18"/>
  <c r="L62" i="18"/>
  <c r="C63" i="18"/>
  <c r="D63" i="18"/>
  <c r="E63" i="18"/>
  <c r="F63" i="18"/>
  <c r="G63" i="18"/>
  <c r="H63" i="18"/>
  <c r="I63" i="18"/>
  <c r="J63" i="18"/>
  <c r="K63" i="18"/>
  <c r="K64" i="18" s="1"/>
  <c r="L63" i="18"/>
  <c r="L64" i="18" s="1"/>
  <c r="F40" i="20" l="1"/>
  <c r="I66" i="18"/>
  <c r="I53" i="18"/>
  <c r="M27" i="18"/>
  <c r="M24" i="18"/>
  <c r="C27" i="20"/>
  <c r="O27" i="20" s="1"/>
  <c r="K28" i="20"/>
  <c r="K35" i="20" s="1"/>
  <c r="K37" i="20" s="1"/>
  <c r="I29" i="20"/>
  <c r="I36" i="20" s="1"/>
  <c r="I37" i="20" s="1"/>
  <c r="J64" i="18"/>
  <c r="J66" i="18" s="1"/>
  <c r="H64" i="18"/>
  <c r="L27" i="18"/>
  <c r="L18" i="20" s="1"/>
  <c r="L24" i="18"/>
  <c r="C12" i="18"/>
  <c r="C13" i="18" s="1"/>
  <c r="C11" i="20" s="1"/>
  <c r="L16" i="18"/>
  <c r="L27" i="20"/>
  <c r="L34" i="20" s="1"/>
  <c r="J28" i="20"/>
  <c r="J35" i="20" s="1"/>
  <c r="F30" i="20"/>
  <c r="D31" i="20"/>
  <c r="F39" i="20"/>
  <c r="F66" i="18"/>
  <c r="E66" i="18"/>
  <c r="H20" i="18"/>
  <c r="C59" i="18"/>
  <c r="H59" i="18"/>
  <c r="I12" i="18"/>
  <c r="I13" i="18" s="1"/>
  <c r="I11" i="20" s="1"/>
  <c r="F20" i="18"/>
  <c r="F29" i="18" s="1"/>
  <c r="F27" i="20"/>
  <c r="F34" i="20" s="1"/>
  <c r="F37" i="20" s="1"/>
  <c r="D28" i="20"/>
  <c r="L30" i="20"/>
  <c r="J31" i="20"/>
  <c r="L39" i="20"/>
  <c r="J40" i="20"/>
  <c r="H41" i="20"/>
  <c r="M10" i="18"/>
  <c r="D29" i="20"/>
  <c r="D36" i="20" s="1"/>
  <c r="C66" i="18"/>
  <c r="C68" i="18" s="1"/>
  <c r="K31" i="20"/>
  <c r="G59" i="18"/>
  <c r="H10" i="18"/>
  <c r="H17" i="20" s="1"/>
  <c r="E20" i="18"/>
  <c r="C29" i="20"/>
  <c r="C36" i="20" s="1"/>
  <c r="I31" i="20"/>
  <c r="K39" i="20"/>
  <c r="O39" i="20" s="1"/>
  <c r="I40" i="20"/>
  <c r="G41" i="20"/>
  <c r="D59" i="18"/>
  <c r="D66" i="18" s="1"/>
  <c r="K10" i="18"/>
  <c r="K17" i="20" s="1"/>
  <c r="J41" i="20"/>
  <c r="K59" i="18"/>
  <c r="K40" i="20"/>
  <c r="F53" i="18"/>
  <c r="D53" i="18"/>
  <c r="L53" i="18"/>
  <c r="D27" i="18"/>
  <c r="D18" i="20" s="1"/>
  <c r="D24" i="18"/>
  <c r="L29" i="20"/>
  <c r="L36" i="20" s="1"/>
  <c r="H31" i="20"/>
  <c r="F41" i="20"/>
  <c r="G66" i="18"/>
  <c r="G68" i="18" s="1"/>
  <c r="I59" i="18"/>
  <c r="J12" i="18"/>
  <c r="J13" i="18" s="1"/>
  <c r="J11" i="20" s="1"/>
  <c r="G27" i="20"/>
  <c r="G34" i="20" s="1"/>
  <c r="G37" i="20" s="1"/>
  <c r="I41" i="20"/>
  <c r="E53" i="18"/>
  <c r="C53" i="18"/>
  <c r="K53" i="18"/>
  <c r="D20" i="18"/>
  <c r="C28" i="20"/>
  <c r="N28" i="20" s="1"/>
  <c r="I30" i="20"/>
  <c r="O30" i="20" s="1"/>
  <c r="G31" i="20"/>
  <c r="K66" i="18"/>
  <c r="L59" i="18"/>
  <c r="L66" i="18" s="1"/>
  <c r="L31" i="20"/>
  <c r="J53" i="18"/>
  <c r="J68" i="18" s="1"/>
  <c r="L28" i="20"/>
  <c r="L35" i="20" s="1"/>
  <c r="J29" i="20"/>
  <c r="J36" i="20" s="1"/>
  <c r="J37" i="20" s="1"/>
  <c r="H30" i="20"/>
  <c r="F31" i="20"/>
  <c r="H34" i="20"/>
  <c r="H37" i="20" s="1"/>
  <c r="S12" i="17"/>
  <c r="O15" i="20"/>
  <c r="G19" i="22"/>
  <c r="E18" i="22"/>
  <c r="B19" i="22"/>
  <c r="B14" i="17"/>
  <c r="N11" i="17"/>
  <c r="O11" i="17" s="1"/>
  <c r="N12" i="17"/>
  <c r="O12" i="17" s="1"/>
  <c r="S11" i="17"/>
  <c r="E37" i="20"/>
  <c r="N9" i="20"/>
  <c r="N15" i="20"/>
  <c r="N39" i="20"/>
  <c r="E11" i="17"/>
  <c r="B15" i="17"/>
  <c r="L15" i="17"/>
  <c r="E10" i="17"/>
  <c r="Q15" i="17"/>
  <c r="N13" i="17"/>
  <c r="S4" i="17"/>
  <c r="E5" i="17"/>
  <c r="N6" i="17"/>
  <c r="E7" i="17"/>
  <c r="N7" i="17"/>
  <c r="O7" i="17" s="1"/>
  <c r="E13" i="17"/>
  <c r="S13" i="17"/>
  <c r="T13" i="17" s="1"/>
  <c r="N5" i="17"/>
  <c r="S7" i="17"/>
  <c r="N8" i="17"/>
  <c r="S8" i="17"/>
  <c r="E9" i="17"/>
  <c r="N9" i="17"/>
  <c r="S9" i="17"/>
  <c r="T9" i="17" s="1"/>
  <c r="N4" i="17"/>
  <c r="S5" i="17"/>
  <c r="T5" i="17" s="1"/>
  <c r="S6" i="17"/>
  <c r="T6" i="17" s="1"/>
  <c r="I68" i="18"/>
  <c r="E21" i="18"/>
  <c r="E12" i="20" s="1"/>
  <c r="E29" i="18"/>
  <c r="H21" i="18"/>
  <c r="H12" i="20" s="1"/>
  <c r="F10" i="18"/>
  <c r="F17" i="20" s="1"/>
  <c r="J20" i="18"/>
  <c r="H16" i="18"/>
  <c r="M7" i="18"/>
  <c r="F16" i="18"/>
  <c r="K7" i="18"/>
  <c r="K5" i="20" s="1"/>
  <c r="G20" i="18"/>
  <c r="E16" i="18"/>
  <c r="M12" i="18"/>
  <c r="J7" i="18"/>
  <c r="J5" i="20" s="1"/>
  <c r="D7" i="18"/>
  <c r="D5" i="20" s="1"/>
  <c r="D10" i="18"/>
  <c r="D17" i="20" s="1"/>
  <c r="K27" i="18"/>
  <c r="K18" i="20" s="1"/>
  <c r="N18" i="20" s="1"/>
  <c r="L12" i="18"/>
  <c r="I7" i="18"/>
  <c r="I5" i="20" s="1"/>
  <c r="C16" i="18"/>
  <c r="K12" i="18"/>
  <c r="H7" i="18"/>
  <c r="H5" i="20" s="1"/>
  <c r="E10" i="18"/>
  <c r="E17" i="20" s="1"/>
  <c r="D16" i="18"/>
  <c r="I24" i="18"/>
  <c r="F24" i="18"/>
  <c r="T12" i="17" l="1"/>
  <c r="O9" i="17"/>
  <c r="O31" i="20"/>
  <c r="C34" i="20"/>
  <c r="O18" i="20"/>
  <c r="N30" i="20"/>
  <c r="L37" i="20"/>
  <c r="N17" i="20"/>
  <c r="O41" i="20"/>
  <c r="O5" i="20"/>
  <c r="L68" i="18"/>
  <c r="L40" i="20"/>
  <c r="D68" i="18"/>
  <c r="D40" i="20"/>
  <c r="F33" i="18"/>
  <c r="F21" i="20"/>
  <c r="F7" i="20"/>
  <c r="D13" i="20"/>
  <c r="D19" i="20" s="1"/>
  <c r="D6" i="20"/>
  <c r="J6" i="20"/>
  <c r="J13" i="20"/>
  <c r="J19" i="20" s="1"/>
  <c r="N5" i="20"/>
  <c r="N31" i="20"/>
  <c r="F13" i="20"/>
  <c r="F19" i="20" s="1"/>
  <c r="F6" i="20"/>
  <c r="O29" i="20"/>
  <c r="C40" i="20"/>
  <c r="F21" i="18"/>
  <c r="F12" i="20" s="1"/>
  <c r="H66" i="18"/>
  <c r="O17" i="20"/>
  <c r="D29" i="18"/>
  <c r="E7" i="20" s="1"/>
  <c r="G6" i="20"/>
  <c r="G13" i="20"/>
  <c r="G19" i="20" s="1"/>
  <c r="N29" i="20"/>
  <c r="E13" i="20"/>
  <c r="E19" i="20" s="1"/>
  <c r="E6" i="20"/>
  <c r="E68" i="18"/>
  <c r="E40" i="20"/>
  <c r="E21" i="20"/>
  <c r="C35" i="20"/>
  <c r="N41" i="20"/>
  <c r="D21" i="18"/>
  <c r="D12" i="20" s="1"/>
  <c r="H6" i="20"/>
  <c r="H13" i="20"/>
  <c r="H19" i="20" s="1"/>
  <c r="H29" i="18"/>
  <c r="N27" i="20"/>
  <c r="K68" i="18"/>
  <c r="F68" i="18"/>
  <c r="I20" i="18"/>
  <c r="C20" i="18"/>
  <c r="C21" i="18" s="1"/>
  <c r="C12" i="20" s="1"/>
  <c r="O28" i="20"/>
  <c r="D35" i="20"/>
  <c r="D37" i="20" s="1"/>
  <c r="G40" i="20"/>
  <c r="S14" i="17"/>
  <c r="T14" i="17" s="1"/>
  <c r="O13" i="17"/>
  <c r="T11" i="17"/>
  <c r="E19" i="22"/>
  <c r="N14" i="17"/>
  <c r="O14" i="17" s="1"/>
  <c r="T7" i="17"/>
  <c r="O5" i="17"/>
  <c r="O10" i="17"/>
  <c r="O35" i="20"/>
  <c r="N35" i="20"/>
  <c r="C37" i="20"/>
  <c r="O36" i="20"/>
  <c r="N36" i="20"/>
  <c r="O34" i="20"/>
  <c r="N34" i="20"/>
  <c r="O6" i="17"/>
  <c r="Q16" i="17"/>
  <c r="N15" i="17"/>
  <c r="L16" i="17"/>
  <c r="E14" i="17"/>
  <c r="T8" i="17"/>
  <c r="E6" i="17"/>
  <c r="E15" i="17"/>
  <c r="B16" i="17"/>
  <c r="O8" i="17"/>
  <c r="E8" i="17"/>
  <c r="T10" i="17"/>
  <c r="J29" i="18"/>
  <c r="J21" i="18"/>
  <c r="J12" i="20" s="1"/>
  <c r="H35" i="18"/>
  <c r="H30" i="18"/>
  <c r="H14" i="20" s="1"/>
  <c r="G21" i="18"/>
  <c r="G12" i="20" s="1"/>
  <c r="G29" i="18"/>
  <c r="E30" i="18"/>
  <c r="E14" i="20" s="1"/>
  <c r="E35" i="18"/>
  <c r="E33" i="18"/>
  <c r="K13" i="18"/>
  <c r="K11" i="20" s="1"/>
  <c r="K20" i="18"/>
  <c r="I29" i="18"/>
  <c r="I21" i="18"/>
  <c r="I12" i="20" s="1"/>
  <c r="L13" i="18"/>
  <c r="L11" i="20" s="1"/>
  <c r="N11" i="20" s="1"/>
  <c r="L20" i="18"/>
  <c r="M13" i="18"/>
  <c r="M20" i="18"/>
  <c r="F30" i="18"/>
  <c r="F14" i="20" s="1"/>
  <c r="F35" i="18"/>
  <c r="C5" i="1"/>
  <c r="D5" i="1"/>
  <c r="E5" i="1"/>
  <c r="F5" i="1"/>
  <c r="G5" i="1"/>
  <c r="H5" i="1"/>
  <c r="I5" i="1"/>
  <c r="I6" i="1" s="1"/>
  <c r="I19" i="1" s="1"/>
  <c r="J5" i="1"/>
  <c r="K5" i="1"/>
  <c r="K6" i="1" s="1"/>
  <c r="K19" i="1" s="1"/>
  <c r="B5" i="1"/>
  <c r="B6" i="6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J6" i="1" s="1"/>
  <c r="J19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F14" i="1" s="1"/>
  <c r="G12" i="1"/>
  <c r="G13" i="1" s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J14" i="1" s="1"/>
  <c r="K15" i="1"/>
  <c r="K14" i="1" s="1"/>
  <c r="B15" i="1"/>
  <c r="B7" i="1"/>
  <c r="B4" i="1"/>
  <c r="A1" i="1"/>
  <c r="E1" i="6"/>
  <c r="H1" i="1" s="1"/>
  <c r="E6" i="1"/>
  <c r="E19" i="1"/>
  <c r="G6" i="1"/>
  <c r="G19" i="1" s="1"/>
  <c r="B6" i="1"/>
  <c r="B19" i="1" s="1"/>
  <c r="C3" i="1"/>
  <c r="D3" i="1"/>
  <c r="E3" i="1"/>
  <c r="F3" i="1"/>
  <c r="G3" i="1"/>
  <c r="H3" i="1"/>
  <c r="I3" i="1"/>
  <c r="J3" i="1"/>
  <c r="K3" i="1"/>
  <c r="L15" i="1"/>
  <c r="B12" i="1"/>
  <c r="B11" i="1"/>
  <c r="B10" i="1"/>
  <c r="B9" i="1"/>
  <c r="B8" i="1"/>
  <c r="B3" i="1"/>
  <c r="L12" i="1"/>
  <c r="L11" i="1"/>
  <c r="L10" i="1"/>
  <c r="N11" i="1" s="1"/>
  <c r="L6" i="1"/>
  <c r="L4" i="1"/>
  <c r="L23" i="1" s="1"/>
  <c r="H23" i="1"/>
  <c r="L5" i="1"/>
  <c r="M11" i="1"/>
  <c r="O15" i="17" l="1"/>
  <c r="S15" i="17"/>
  <c r="T15" i="17" s="1"/>
  <c r="O11" i="20"/>
  <c r="G21" i="20"/>
  <c r="G7" i="20"/>
  <c r="H23" i="20"/>
  <c r="H25" i="20"/>
  <c r="I7" i="20"/>
  <c r="I21" i="20"/>
  <c r="I6" i="20"/>
  <c r="O6" i="20" s="1"/>
  <c r="I13" i="20"/>
  <c r="I19" i="20" s="1"/>
  <c r="D33" i="18"/>
  <c r="D21" i="20"/>
  <c r="H68" i="18"/>
  <c r="H40" i="20"/>
  <c r="J21" i="20"/>
  <c r="J7" i="20"/>
  <c r="I5" i="22" a="1"/>
  <c r="C13" i="20"/>
  <c r="C29" i="18"/>
  <c r="C21" i="20" s="1"/>
  <c r="D30" i="18"/>
  <c r="D14" i="20" s="1"/>
  <c r="F23" i="20"/>
  <c r="F8" i="20"/>
  <c r="F25" i="20"/>
  <c r="D35" i="18"/>
  <c r="H33" i="18"/>
  <c r="H7" i="20"/>
  <c r="H21" i="20"/>
  <c r="L6" i="20"/>
  <c r="L13" i="20"/>
  <c r="L19" i="20" s="1"/>
  <c r="K6" i="20"/>
  <c r="K13" i="20"/>
  <c r="K19" i="20" s="1"/>
  <c r="O40" i="20"/>
  <c r="N40" i="20"/>
  <c r="E8" i="20"/>
  <c r="E23" i="20"/>
  <c r="E25" i="20"/>
  <c r="O37" i="20"/>
  <c r="N37" i="20"/>
  <c r="N16" i="17"/>
  <c r="O16" i="17" s="1"/>
  <c r="L17" i="17"/>
  <c r="S16" i="17"/>
  <c r="T16" i="17" s="1"/>
  <c r="Q17" i="17"/>
  <c r="B17" i="17"/>
  <c r="E16" i="17"/>
  <c r="M21" i="18"/>
  <c r="M29" i="18"/>
  <c r="G35" i="18"/>
  <c r="H8" i="20" s="1"/>
  <c r="G30" i="18"/>
  <c r="G14" i="20" s="1"/>
  <c r="G33" i="18"/>
  <c r="F40" i="18"/>
  <c r="F36" i="18"/>
  <c r="E40" i="18"/>
  <c r="E36" i="18"/>
  <c r="I35" i="18"/>
  <c r="I30" i="18"/>
  <c r="I14" i="20" s="1"/>
  <c r="I33" i="18"/>
  <c r="D36" i="18"/>
  <c r="D40" i="18"/>
  <c r="L29" i="18"/>
  <c r="L21" i="18"/>
  <c r="L12" i="20" s="1"/>
  <c r="H40" i="18"/>
  <c r="H36" i="18"/>
  <c r="K21" i="18"/>
  <c r="K12" i="20" s="1"/>
  <c r="N12" i="20" s="1"/>
  <c r="K29" i="18"/>
  <c r="J30" i="18"/>
  <c r="J14" i="20" s="1"/>
  <c r="J35" i="18"/>
  <c r="J33" i="18"/>
  <c r="J23" i="1"/>
  <c r="C14" i="1"/>
  <c r="I23" i="1"/>
  <c r="G14" i="1"/>
  <c r="C6" i="1"/>
  <c r="C19" i="1" s="1"/>
  <c r="D6" i="1"/>
  <c r="D19" i="1" s="1"/>
  <c r="L13" i="1"/>
  <c r="L14" i="1" s="1"/>
  <c r="L25" i="1" s="1"/>
  <c r="L19" i="1"/>
  <c r="L24" i="1" s="1"/>
  <c r="B13" i="1"/>
  <c r="B14" i="1"/>
  <c r="I14" i="1"/>
  <c r="K25" i="1" s="1"/>
  <c r="M25" i="1" s="1"/>
  <c r="M14" i="1" s="1"/>
  <c r="H14" i="1"/>
  <c r="K24" i="1"/>
  <c r="M24" i="1" s="1"/>
  <c r="L9" i="1"/>
  <c r="M9" i="1" s="1"/>
  <c r="L8" i="1"/>
  <c r="M8" i="1" s="1"/>
  <c r="L7" i="1"/>
  <c r="D13" i="1"/>
  <c r="J25" i="1"/>
  <c r="K23" i="1"/>
  <c r="H6" i="1"/>
  <c r="H19" i="1" s="1"/>
  <c r="J24" i="1" s="1"/>
  <c r="F6" i="1"/>
  <c r="F19" i="1" s="1"/>
  <c r="I5" i="22" l="1"/>
  <c r="I6" i="22"/>
  <c r="I10" i="22"/>
  <c r="I14" i="22"/>
  <c r="I13" i="22"/>
  <c r="I11" i="22"/>
  <c r="I9" i="22"/>
  <c r="I8" i="22"/>
  <c r="I12" i="22"/>
  <c r="J12" i="22" s="1"/>
  <c r="I7" i="22"/>
  <c r="K21" i="20"/>
  <c r="N21" i="20" s="1"/>
  <c r="K7" i="20"/>
  <c r="C19" i="20"/>
  <c r="N13" i="20"/>
  <c r="O13" i="20"/>
  <c r="N6" i="20"/>
  <c r="J8" i="20"/>
  <c r="J23" i="20"/>
  <c r="J25" i="20"/>
  <c r="I8" i="20"/>
  <c r="I23" i="20"/>
  <c r="I25" i="20"/>
  <c r="D23" i="20"/>
  <c r="D24" i="20" s="1"/>
  <c r="D25" i="20"/>
  <c r="O12" i="20"/>
  <c r="C33" i="18"/>
  <c r="L21" i="20"/>
  <c r="L7" i="20"/>
  <c r="G23" i="20"/>
  <c r="G8" i="20"/>
  <c r="G25" i="20"/>
  <c r="C35" i="18"/>
  <c r="D7" i="20"/>
  <c r="C30" i="18"/>
  <c r="C14" i="20" s="1"/>
  <c r="N17" i="17"/>
  <c r="O17" i="17" s="1"/>
  <c r="L18" i="17"/>
  <c r="N18" i="17" s="1"/>
  <c r="E17" i="17"/>
  <c r="B18" i="17"/>
  <c r="E18" i="17" s="1"/>
  <c r="S17" i="17"/>
  <c r="T17" i="17" s="1"/>
  <c r="Q18" i="17"/>
  <c r="K30" i="18"/>
  <c r="K14" i="20" s="1"/>
  <c r="K33" i="18"/>
  <c r="K35" i="18"/>
  <c r="H44" i="18"/>
  <c r="H46" i="18" s="1"/>
  <c r="H22" i="20" s="1"/>
  <c r="H24" i="20" s="1"/>
  <c r="D44" i="18"/>
  <c r="D46" i="18" s="1"/>
  <c r="D22" i="20" s="1"/>
  <c r="M35" i="18"/>
  <c r="M30" i="18"/>
  <c r="M33" i="18"/>
  <c r="E41" i="18"/>
  <c r="E44" i="18"/>
  <c r="E46" i="18" s="1"/>
  <c r="E22" i="20" s="1"/>
  <c r="E24" i="20" s="1"/>
  <c r="F41" i="18"/>
  <c r="F44" i="18"/>
  <c r="F46" i="18" s="1"/>
  <c r="F22" i="20" s="1"/>
  <c r="F24" i="20" s="1"/>
  <c r="L33" i="18"/>
  <c r="L30" i="18"/>
  <c r="L14" i="20" s="1"/>
  <c r="L35" i="18"/>
  <c r="G40" i="18"/>
  <c r="G36" i="18"/>
  <c r="J40" i="18"/>
  <c r="J36" i="18"/>
  <c r="I36" i="18"/>
  <c r="I40" i="18"/>
  <c r="N8" i="1"/>
  <c r="N9" i="1"/>
  <c r="H24" i="1"/>
  <c r="I24" i="1"/>
  <c r="N24" i="1"/>
  <c r="M23" i="1"/>
  <c r="M4" i="1" s="1"/>
  <c r="M6" i="1" s="1"/>
  <c r="M10" i="1" s="1"/>
  <c r="M12" i="1" s="1"/>
  <c r="M13" i="1" s="1"/>
  <c r="M15" i="1" s="1"/>
  <c r="N23" i="1"/>
  <c r="N4" i="1" s="1"/>
  <c r="E13" i="1"/>
  <c r="E14" i="1" s="1"/>
  <c r="I25" i="1" s="1"/>
  <c r="D14" i="1"/>
  <c r="H25" i="1" s="1"/>
  <c r="N25" i="1" s="1"/>
  <c r="N14" i="1" s="1"/>
  <c r="O18" i="17" l="1"/>
  <c r="O21" i="20"/>
  <c r="J10" i="22"/>
  <c r="J14" i="22"/>
  <c r="O14" i="20"/>
  <c r="C25" i="20"/>
  <c r="C23" i="20"/>
  <c r="D8" i="20"/>
  <c r="I18" i="22"/>
  <c r="J7" i="22"/>
  <c r="C36" i="18"/>
  <c r="L23" i="20"/>
  <c r="L8" i="20"/>
  <c r="L25" i="20"/>
  <c r="J8" i="22"/>
  <c r="J9" i="22"/>
  <c r="K23" i="20"/>
  <c r="K8" i="20"/>
  <c r="K25" i="20"/>
  <c r="J11" i="22"/>
  <c r="O7" i="20"/>
  <c r="N7" i="20"/>
  <c r="C40" i="18"/>
  <c r="J13" i="22"/>
  <c r="I19" i="22"/>
  <c r="J19" i="22" s="1"/>
  <c r="J6" i="22"/>
  <c r="N14" i="20"/>
  <c r="O19" i="20"/>
  <c r="N19" i="20"/>
  <c r="I15" i="22"/>
  <c r="J15" i="22" s="1"/>
  <c r="I16" i="22"/>
  <c r="I17" i="22"/>
  <c r="J17" i="22" s="1"/>
  <c r="S18" i="17"/>
  <c r="T18" i="17" s="1"/>
  <c r="G41" i="18"/>
  <c r="G44" i="18"/>
  <c r="G46" i="18" s="1"/>
  <c r="G22" i="20" s="1"/>
  <c r="G24" i="20" s="1"/>
  <c r="C44" i="18"/>
  <c r="C46" i="18" s="1"/>
  <c r="C22" i="20" s="1"/>
  <c r="L36" i="18"/>
  <c r="L40" i="18"/>
  <c r="D41" i="18"/>
  <c r="I41" i="18"/>
  <c r="I46" i="18"/>
  <c r="I22" i="20" s="1"/>
  <c r="I24" i="20" s="1"/>
  <c r="I44" i="18"/>
  <c r="H41" i="18"/>
  <c r="K40" i="18"/>
  <c r="K36" i="18"/>
  <c r="J41" i="18"/>
  <c r="J44" i="18"/>
  <c r="J46" i="18" s="1"/>
  <c r="J22" i="20" s="1"/>
  <c r="J24" i="20" s="1"/>
  <c r="M40" i="18"/>
  <c r="M36" i="18"/>
  <c r="N6" i="1"/>
  <c r="N10" i="1" s="1"/>
  <c r="N12" i="1" s="1"/>
  <c r="N13" i="1" s="1"/>
  <c r="N15" i="1"/>
  <c r="M5" i="1"/>
  <c r="C24" i="20" l="1"/>
  <c r="N5" i="22" a="1"/>
  <c r="J18" i="22"/>
  <c r="J16" i="22"/>
  <c r="O8" i="20"/>
  <c r="N8" i="20"/>
  <c r="N23" i="20"/>
  <c r="O23" i="20"/>
  <c r="K24" i="20"/>
  <c r="N25" i="20"/>
  <c r="O25" i="20"/>
  <c r="M46" i="18"/>
  <c r="M44" i="18"/>
  <c r="L41" i="18"/>
  <c r="L44" i="18"/>
  <c r="L46" i="18" s="1"/>
  <c r="L22" i="20" s="1"/>
  <c r="L24" i="20" s="1"/>
  <c r="K41" i="18"/>
  <c r="K44" i="18"/>
  <c r="K46" i="18" s="1"/>
  <c r="K22" i="20" s="1"/>
  <c r="N5" i="1"/>
  <c r="O22" i="20" l="1"/>
  <c r="N5" i="22"/>
  <c r="N14" i="22"/>
  <c r="N13" i="22"/>
  <c r="N11" i="22"/>
  <c r="N9" i="22"/>
  <c r="N8" i="22"/>
  <c r="N7" i="22"/>
  <c r="N6" i="22"/>
  <c r="O6" i="22" s="1"/>
  <c r="N12" i="22"/>
  <c r="N10" i="22"/>
  <c r="O10" i="22" s="1"/>
  <c r="O24" i="20"/>
  <c r="N24" i="20"/>
  <c r="N22" i="20"/>
  <c r="O7" i="22" l="1"/>
  <c r="O8" i="22"/>
  <c r="O9" i="22"/>
  <c r="O12" i="22"/>
  <c r="O11" i="22"/>
  <c r="O14" i="22"/>
  <c r="O13" i="22"/>
  <c r="N19" i="22"/>
  <c r="N17" i="22"/>
  <c r="O17" i="22" s="1"/>
  <c r="O15" i="22"/>
  <c r="N18" i="22"/>
  <c r="O19" i="22" l="1"/>
  <c r="O18" i="22"/>
  <c r="O16" i="22"/>
</calcChain>
</file>

<file path=xl/sharedStrings.xml><?xml version="1.0" encoding="utf-8"?>
<sst xmlns="http://schemas.openxmlformats.org/spreadsheetml/2006/main" count="265" uniqueCount="191">
  <si>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</si>
  <si>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</si>
  <si>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</si>
  <si>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</si>
  <si>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</si>
  <si>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</si>
  <si>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</si>
  <si>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</si>
  <si>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</si>
  <si>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</si>
  <si>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</si>
  <si>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</si>
  <si>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</si>
  <si>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</si>
  <si>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</si>
  <si>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</si>
  <si>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</si>
  <si>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</si>
  <si>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</si>
  <si>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</si>
  <si>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</si>
  <si>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</si>
  <si>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</si>
  <si>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</si>
  <si>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</si>
  <si>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</si>
  <si>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</si>
  <si>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</si>
  <si>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</si>
  <si>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</si>
  <si>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</si>
  <si>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</si>
  <si>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</si>
  <si>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</si>
  <si>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</si>
  <si>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</si>
  <si>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</si>
  <si>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</si>
  <si>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</si>
  <si>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</si>
  <si>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</si>
  <si>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</si>
  <si>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</si>
  <si>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</si>
  <si>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</si>
  <si>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Price</t>
  </si>
  <si>
    <t>LATEST VERSION</t>
  </si>
  <si>
    <t>CURRENT VERSION</t>
  </si>
  <si>
    <t>J B CHEMICALS &amp; PHARMACEUTICALS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</si>
  <si>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</si>
  <si>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</si>
  <si>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</si>
  <si>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</si>
  <si>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</si>
  <si>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</si>
  <si>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</si>
  <si>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</si>
  <si>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</si>
  <si>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</si>
  <si>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</si>
  <si>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</si>
  <si>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</si>
  <si>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</si>
  <si>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</si>
  <si>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</si>
  <si>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</si>
  <si>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</si>
  <si>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</si>
  <si>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</si>
  <si>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</si>
  <si>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</si>
  <si>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</si>
  <si>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</si>
  <si>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</si>
  <si>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</si>
  <si>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</si>
  <si>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</si>
  <si>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Income Statement</t>
  </si>
  <si>
    <t>#</t>
  </si>
  <si>
    <t>-</t>
  </si>
  <si>
    <t>Gross Profit</t>
  </si>
  <si>
    <t>Gross Margin</t>
  </si>
  <si>
    <t>Effective Tax Rate</t>
  </si>
  <si>
    <t>Net Profit</t>
  </si>
  <si>
    <t>Net Margins</t>
  </si>
  <si>
    <t>Dividend per Share</t>
  </si>
  <si>
    <t>No of Equity Shares</t>
  </si>
  <si>
    <t>EPS Growth %</t>
  </si>
  <si>
    <t>Dividend payout ratio</t>
  </si>
  <si>
    <t>Balance Sheet</t>
  </si>
  <si>
    <t>Total Liabilities</t>
  </si>
  <si>
    <t>Total Assets</t>
  </si>
  <si>
    <t>Total Non Current Assets</t>
  </si>
  <si>
    <t>Total Current Assets</t>
  </si>
  <si>
    <t>Cash Flow Statement</t>
  </si>
  <si>
    <t>Profit from operations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</si>
  <si>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</si>
  <si>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</si>
  <si>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</si>
  <si>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</si>
  <si>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</si>
  <si>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</si>
  <si>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</si>
  <si>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</si>
  <si>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</si>
  <si>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</si>
  <si>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</si>
  <si>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</si>
  <si>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</si>
  <si>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</si>
  <si>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</si>
  <si>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</si>
  <si>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</si>
  <si>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</si>
  <si>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COGS </t>
  </si>
  <si>
    <t>Selling &amp; general exp</t>
  </si>
  <si>
    <t>S&amp;G Exp % of Sale</t>
  </si>
  <si>
    <t>EBITDA</t>
  </si>
  <si>
    <t>EBITDA % of Sale</t>
  </si>
  <si>
    <t>Interest % of Sale</t>
  </si>
  <si>
    <t>Depreciation % of Sale</t>
  </si>
  <si>
    <t>COGS % of Sales</t>
  </si>
  <si>
    <t>Earnings before Tax</t>
  </si>
  <si>
    <t>EBT % of sales</t>
  </si>
  <si>
    <t>Retained Earning</t>
  </si>
  <si>
    <t>Fixed Asset Net Block</t>
  </si>
  <si>
    <t xml:space="preserve">Check </t>
  </si>
  <si>
    <t>Cash from Operating Activity -</t>
  </si>
  <si>
    <t>Cash from Investing Activity -</t>
  </si>
  <si>
    <t>Cash from Financing Activity -</t>
  </si>
  <si>
    <t>Invest in subsidiaries</t>
  </si>
  <si>
    <t>Investment subsidy</t>
  </si>
  <si>
    <t>Year Weight</t>
  </si>
  <si>
    <t>Year</t>
  </si>
  <si>
    <t>Trend</t>
  </si>
  <si>
    <t>Mean</t>
  </si>
  <si>
    <t>Median</t>
  </si>
  <si>
    <t>EBITA Growth</t>
  </si>
  <si>
    <t>Net Profit Growth</t>
  </si>
  <si>
    <t>Dividend Growth</t>
  </si>
  <si>
    <t>EBIDTA Margin</t>
  </si>
  <si>
    <t>EBIT Margin</t>
  </si>
  <si>
    <t>EBT Margin</t>
  </si>
  <si>
    <t>Net Profit Margin</t>
  </si>
  <si>
    <t>Sales Expense% Sales</t>
  </si>
  <si>
    <t>Depreciation% Sales</t>
  </si>
  <si>
    <t>Operating% Sales</t>
  </si>
  <si>
    <t>Return on Capital Employed</t>
  </si>
  <si>
    <t>Retained Earning%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</si>
  <si>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</si>
  <si>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</si>
  <si>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</si>
  <si>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</si>
  <si>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</si>
  <si>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</si>
  <si>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Asset Turnover Ratio</t>
  </si>
  <si>
    <t>Capital Turnover Ratio</t>
  </si>
  <si>
    <t>Debtor Days</t>
  </si>
  <si>
    <t>Payable Days</t>
  </si>
  <si>
    <t>Inventory Days</t>
  </si>
  <si>
    <t>Cash Conversion Cycle (in days)</t>
  </si>
  <si>
    <t>CFO/Sales</t>
  </si>
  <si>
    <t>CFO/Total Assets</t>
  </si>
  <si>
    <t>CFO/Total Debt</t>
  </si>
  <si>
    <t>EBT Growth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</si>
  <si>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</si>
  <si>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</si>
  <si>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</si>
  <si>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</si>
  <si>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</si>
  <si>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</si>
  <si>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</si>
  <si>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</si>
  <si>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</si>
  <si>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</si>
  <si>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</si>
  <si>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</si>
  <si>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</si>
  <si>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</si>
  <si>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</si>
  <si>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</si>
  <si>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</si>
  <si>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</si>
  <si>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</si>
  <si>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</si>
  <si>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</si>
  <si>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</si>
  <si>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</si>
  <si>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</si>
  <si>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EPS Growth</t>
  </si>
  <si>
    <t>EBITDA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</si>
</sst>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-"/>
    <numFmt numFmtId="167" formatCode="yyyy"/>
    <numFmt numFmtId="168" formatCode="yyyy&quot;A&quot;"/>
    <numFmt numFmtId="169" formatCode="#,##0.0"/>
    <numFmt numFmtId="170" formatCode="yyyy&quot;E&quot;"/>
    <numFmt numFmtId="171" formatCode="0.00&quot;x&quot;"/>
    <numFmt numFmtId="172" formatCode="0\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</cellStyleXfs>
  <cellXfs count="97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164" fontId="0" fillId="0" borderId="0" xfId="1" applyNumberFormat="1" applyFont="1" applyBorder="1"/>
    <xf numFmtId="0" fontId="0" fillId="0" borderId="0" xfId="0" applyAlignment="1">
      <alignment horizontal="left"/>
    </xf>
    <xf numFmtId="167" fontId="0" fillId="0" borderId="0" xfId="1" applyNumberFormat="1" applyFont="1" applyBorder="1"/>
    <xf numFmtId="0" fontId="9" fillId="0" borderId="0" xfId="7" applyFont="1"/>
    <xf numFmtId="0" fontId="3" fillId="0" borderId="0" xfId="7"/>
    <xf numFmtId="17" fontId="0" fillId="0" borderId="0" xfId="0" applyNumberFormat="1"/>
    <xf numFmtId="0" fontId="0" fillId="0" borderId="0" xfId="0" applyAlignment="1">
      <alignment horizontal="right"/>
    </xf>
    <xf numFmtId="17" fontId="2" fillId="6" borderId="0" xfId="0" applyNumberFormat="1" applyFont="1" applyFill="1" applyAlignment="1">
      <alignment horizontal="right"/>
    </xf>
    <xf numFmtId="166" fontId="0" fillId="0" borderId="0" xfId="0" applyNumberFormat="1" applyAlignment="1">
      <alignment horizontal="right"/>
    </xf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10" fontId="10" fillId="0" borderId="0" xfId="6" applyNumberFormat="1" applyFont="1" applyAlignment="1">
      <alignment horizontal="right"/>
    </xf>
    <xf numFmtId="0" fontId="2" fillId="6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6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right"/>
    </xf>
    <xf numFmtId="0" fontId="1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right"/>
    </xf>
    <xf numFmtId="10" fontId="3" fillId="0" borderId="0" xfId="6" applyNumberFormat="1" applyFont="1" applyAlignment="1">
      <alignment horizontal="right"/>
    </xf>
    <xf numFmtId="0" fontId="8" fillId="0" borderId="0" xfId="0" applyFont="1" applyAlignment="1">
      <alignment horizontal="left"/>
    </xf>
    <xf numFmtId="3" fontId="0" fillId="0" borderId="0" xfId="0" applyNumberFormat="1"/>
    <xf numFmtId="0" fontId="1" fillId="0" borderId="1" xfId="0" applyFont="1" applyBorder="1" applyAlignment="1">
      <alignment horizontal="left"/>
    </xf>
    <xf numFmtId="166" fontId="1" fillId="0" borderId="1" xfId="0" applyNumberFormat="1" applyFont="1" applyBorder="1" applyAlignment="1">
      <alignment horizontal="right"/>
    </xf>
    <xf numFmtId="10" fontId="10" fillId="0" borderId="0" xfId="6" applyNumberFormat="1" applyFont="1" applyBorder="1" applyAlignment="1">
      <alignment horizontal="right"/>
    </xf>
    <xf numFmtId="0" fontId="12" fillId="8" borderId="0" xfId="0" applyFont="1" applyFill="1" applyAlignment="1">
      <alignment horizontal="left"/>
    </xf>
    <xf numFmtId="0" fontId="12" fillId="8" borderId="0" xfId="0" applyFont="1" applyFill="1" applyAlignment="1">
      <alignment horizontal="right"/>
    </xf>
    <xf numFmtId="168" fontId="0" fillId="0" borderId="0" xfId="0" applyNumberFormat="1" applyAlignment="1">
      <alignment horizontal="right"/>
    </xf>
    <xf numFmtId="169" fontId="0" fillId="0" borderId="0" xfId="0" applyNumberFormat="1"/>
    <xf numFmtId="10" fontId="3" fillId="0" borderId="0" xfId="6" applyNumberFormat="1" applyFont="1"/>
    <xf numFmtId="0" fontId="0" fillId="9" borderId="0" xfId="0" applyFill="1" applyAlignment="1">
      <alignment horizontal="left"/>
    </xf>
    <xf numFmtId="170" fontId="0" fillId="9" borderId="0" xfId="0" applyNumberFormat="1" applyFill="1" applyAlignment="1">
      <alignment horizontal="right"/>
    </xf>
    <xf numFmtId="169" fontId="0" fillId="9" borderId="0" xfId="0" applyNumberFormat="1" applyFill="1"/>
    <xf numFmtId="10" fontId="3" fillId="9" borderId="0" xfId="6" applyNumberFormat="1" applyFont="1" applyFill="1"/>
    <xf numFmtId="0" fontId="2" fillId="8" borderId="0" xfId="0" applyFont="1" applyFill="1"/>
    <xf numFmtId="17" fontId="2" fillId="8" borderId="0" xfId="0" applyNumberFormat="1" applyFont="1" applyFill="1"/>
    <xf numFmtId="0" fontId="0" fillId="10" borderId="0" xfId="0" applyFill="1"/>
    <xf numFmtId="0" fontId="0" fillId="0" borderId="2" xfId="0" applyBorder="1"/>
    <xf numFmtId="10" fontId="0" fillId="0" borderId="2" xfId="6" applyNumberFormat="1" applyFont="1" applyBorder="1"/>
    <xf numFmtId="0" fontId="0" fillId="10" borderId="2" xfId="0" applyFill="1" applyBorder="1"/>
    <xf numFmtId="10" fontId="0" fillId="0" borderId="0" xfId="6" applyNumberFormat="1" applyFont="1" applyBorder="1"/>
    <xf numFmtId="0" fontId="0" fillId="0" borderId="3" xfId="0" applyBorder="1"/>
    <xf numFmtId="10" fontId="0" fillId="0" borderId="3" xfId="6" applyNumberFormat="1" applyFont="1" applyBorder="1"/>
    <xf numFmtId="0" fontId="0" fillId="10" borderId="3" xfId="0" applyFill="1" applyBorder="1"/>
    <xf numFmtId="10" fontId="0" fillId="0" borderId="0" xfId="6" applyNumberFormat="1" applyFont="1"/>
    <xf numFmtId="10" fontId="0" fillId="0" borderId="2" xfId="0" applyNumberFormat="1" applyBorder="1"/>
    <xf numFmtId="10" fontId="0" fillId="0" borderId="3" xfId="0" applyNumberFormat="1" applyBorder="1"/>
    <xf numFmtId="171" fontId="0" fillId="0" borderId="3" xfId="0" applyNumberFormat="1" applyBorder="1"/>
    <xf numFmtId="171" fontId="0" fillId="0" borderId="2" xfId="0" applyNumberFormat="1" applyBorder="1"/>
    <xf numFmtId="171" fontId="0" fillId="0" borderId="0" xfId="0" applyNumberFormat="1"/>
    <xf numFmtId="0" fontId="13" fillId="0" borderId="0" xfId="0" applyFont="1" applyAlignment="1">
      <alignment vertical="center"/>
    </xf>
    <xf numFmtId="166" fontId="0" fillId="0" borderId="0" xfId="0" applyNumberFormat="1"/>
    <xf numFmtId="166" fontId="1" fillId="0" borderId="0" xfId="0" applyNumberFormat="1" applyFont="1"/>
    <xf numFmtId="172" fontId="0" fillId="0" borderId="2" xfId="0" applyNumberFormat="1" applyBorder="1"/>
    <xf numFmtId="172" fontId="0" fillId="0" borderId="0" xfId="0" applyNumberFormat="1"/>
    <xf numFmtId="172" fontId="0" fillId="0" borderId="3" xfId="0" applyNumberFormat="1" applyBorder="1"/>
    <xf numFmtId="10" fontId="0" fillId="0" borderId="0" xfId="6" applyNumberFormat="1" applyFont="1" applyFill="1"/>
    <xf numFmtId="10" fontId="0" fillId="0" borderId="2" xfId="6" applyNumberFormat="1" applyFont="1" applyFill="1" applyBorder="1"/>
    <xf numFmtId="10" fontId="0" fillId="0" borderId="0" xfId="6" applyNumberFormat="1" applyFont="1" applyFill="1" applyBorder="1"/>
    <xf numFmtId="10" fontId="0" fillId="0" borderId="3" xfId="6" applyNumberFormat="1" applyFont="1" applyFill="1" applyBorder="1"/>
    <xf numFmtId="166" fontId="14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0" fillId="0" borderId="0" xfId="6" applyNumberFormat="1" applyFont="1" applyAlignment="1">
      <alignment horizontal="right"/>
    </xf>
    <xf numFmtId="169" fontId="14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10" fontId="3" fillId="0" borderId="0" xfId="6" applyNumberFormat="1" applyFont="1" applyFill="1"/>
    <xf numFmtId="0" fontId="12" fillId="0" borderId="0" xfId="0" applyFont="1" applyAlignment="1">
      <alignment horizontal="left"/>
    </xf>
    <xf numFmtId="170" fontId="0" fillId="0" borderId="0" xfId="0" applyNumberFormat="1" applyAlignment="1">
      <alignment horizontal="right"/>
    </xf>
    <xf numFmtId="0" fontId="0" fillId="0" borderId="4" xfId="0" applyBorder="1"/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Continuous"/>
    </xf>
    <xf numFmtId="166" fontId="0" fillId="9" borderId="0" xfId="0" applyNumberFormat="1" applyFill="1" applyAlignment="1">
      <alignment horizontal="right"/>
    </xf>
    <xf numFmtId="0" fontId="2" fillId="8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8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Normal 3" xfId="7" xr:uid="{F153F279-D707-46E9-9205-9B640520461B}"/>
    <cellStyle name="Percent" xfId="6" builtinId="5"/>
  </cellStyles>
  <dxfs count="19">
    <dxf>
      <font>
        <b/>
        <i val="0"/>
        <color theme="0"/>
      </font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'Data &gt;'!$C$4:$C$13</c:f>
              <c:numCache>
                <c:formatCode>yyyy"A"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43920</c:v>
                </c:pt>
                <c:pt idx="5">
                  <c:v>44285</c:v>
                </c:pt>
                <c:pt idx="6">
                  <c:v>44650</c:v>
                </c:pt>
                <c:pt idx="7">
                  <c:v>45015</c:v>
                </c:pt>
                <c:pt idx="8">
                  <c:v>45380</c:v>
                </c:pt>
                <c:pt idx="9">
                  <c:v>45745</c:v>
                </c:pt>
              </c:numCache>
            </c:numRef>
          </c:xVal>
          <c:yVal>
            <c:numRef>
              <c:f>'Data &gt;'!$D$4:$D$13</c:f>
              <c:numCache>
                <c:formatCode>"₹"\ #,##0.0;\("₹"\ #,##0.0\);\-</c:formatCode>
                <c:ptCount val="10"/>
                <c:pt idx="0">
                  <c:v>1210.3599999999999</c:v>
                </c:pt>
                <c:pt idx="1">
                  <c:v>1344.29</c:v>
                </c:pt>
                <c:pt idx="2">
                  <c:v>1408.38</c:v>
                </c:pt>
                <c:pt idx="3">
                  <c:v>1643.2</c:v>
                </c:pt>
                <c:pt idx="4">
                  <c:v>1774.73</c:v>
                </c:pt>
                <c:pt idx="5">
                  <c:v>2042.52</c:v>
                </c:pt>
                <c:pt idx="6">
                  <c:v>2424.2399999999998</c:v>
                </c:pt>
                <c:pt idx="7">
                  <c:v>3149.28</c:v>
                </c:pt>
                <c:pt idx="8">
                  <c:v>3484.18</c:v>
                </c:pt>
                <c:pt idx="9">
                  <c:v>3917.99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22-40AE-AE0D-F75673D80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939935"/>
        <c:axId val="1053940415"/>
      </c:scatterChart>
      <c:valAx>
        <c:axId val="1053939935"/>
        <c:scaling>
          <c:orientation val="minMax"/>
        </c:scaling>
        <c:delete val="0"/>
        <c:axPos val="b"/>
        <c:numFmt formatCode="yyyy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940415"/>
        <c:crosses val="autoZero"/>
        <c:crossBetween val="midCat"/>
      </c:valAx>
      <c:valAx>
        <c:axId val="105394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;\(&quot;₹&quot;\ #,##0.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939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55621</xdr:colOff>
      <xdr:row>0</xdr:row>
      <xdr:rowOff>160743</xdr:rowOff>
    </xdr:from>
    <xdr:to>
      <xdr:col>10</xdr:col>
      <xdr:colOff>22248</xdr:colOff>
      <xdr:row>15</xdr:row>
      <xdr:rowOff>150731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2084F5-387C-8953-C557-168E3B9C1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ocuments\Financial%20modelling\Tata%20Power%20Co.xlsx" TargetMode="External"/><Relationship Id="rId1" Type="http://schemas.openxmlformats.org/officeDocument/2006/relationships/externalLinkPath" Target="Tata%20Power%20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HistoricalFS"/>
      <sheetName val="Ratio Analysis"/>
      <sheetName val="Data &gt;"/>
      <sheetName val="Data Sheet"/>
      <sheetName val="Cash Flow Data"/>
    </sheetNames>
    <sheetDataSet>
      <sheetData sheetId="0"/>
      <sheetData sheetId="1">
        <row r="18">
          <cell r="C18">
            <v>2105.2299999999977</v>
          </cell>
          <cell r="D18">
            <v>5473.2699999999986</v>
          </cell>
          <cell r="E18">
            <v>2294.8300000000008</v>
          </cell>
          <cell r="F18">
            <v>3069.9100000000035</v>
          </cell>
          <cell r="G18">
            <v>6805.07</v>
          </cell>
          <cell r="H18">
            <v>6920.8999999999978</v>
          </cell>
          <cell r="I18">
            <v>7030.8900000000031</v>
          </cell>
          <cell r="J18">
            <v>7727.7600000000048</v>
          </cell>
          <cell r="K18">
            <v>10735.280000000004</v>
          </cell>
          <cell r="L18">
            <v>12165.589999999997</v>
          </cell>
        </row>
        <row r="34">
          <cell r="C34">
            <v>-0.11729791858087842</v>
          </cell>
          <cell r="D34">
            <v>-7.1677156286577238E-3</v>
          </cell>
          <cell r="E34">
            <v>-0.14809053709221251</v>
          </cell>
          <cell r="F34">
            <v>-0.15330145583858124</v>
          </cell>
          <cell r="G34">
            <v>-3.3075843009956266E-2</v>
          </cell>
          <cell r="H34">
            <v>-1.0283668533857952E-2</v>
          </cell>
          <cell r="I34">
            <v>-7.7048893547618505E-3</v>
          </cell>
          <cell r="J34">
            <v>-3.1399907238516676E-2</v>
          </cell>
          <cell r="K34">
            <v>1.4056720299305667E-2</v>
          </cell>
          <cell r="L34">
            <v>2.7521203990821946E-2</v>
          </cell>
        </row>
        <row r="38">
          <cell r="C38">
            <v>-12.791614286770695</v>
          </cell>
          <cell r="D38">
            <v>-0.73107068914522899</v>
          </cell>
          <cell r="E38">
            <v>-14.695319432120668</v>
          </cell>
          <cell r="F38">
            <v>-16.935854776693272</v>
          </cell>
          <cell r="G38">
            <v>-3.5629621413782879</v>
          </cell>
          <cell r="H38">
            <v>-1.0525146308640883</v>
          </cell>
          <cell r="I38">
            <v>-1.0324226207241771</v>
          </cell>
          <cell r="J38">
            <v>-5.4155165399179879</v>
          </cell>
          <cell r="K38">
            <v>2.7032516508622169</v>
          </cell>
          <cell r="L38">
            <v>5.639658248051818</v>
          </cell>
        </row>
      </sheetData>
      <sheetData sheetId="2"/>
      <sheetData sheetId="3"/>
      <sheetData sheetId="4">
        <row r="16">
          <cell r="B16">
            <v>42460</v>
          </cell>
        </row>
      </sheetData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18">
  <tableColumns count="14">
    <tableColumn id="1" xr3:uid="{00000000-0010-0000-0000-000001000000}" name="Column1" headerRowDxfId="17" dataDxfId="16"/>
    <tableColumn id="2" xr3:uid="{00000000-0010-0000-0000-000002000000}" name="Column2" headerRowDxfId="15"/>
    <tableColumn id="3" xr3:uid="{00000000-0010-0000-0000-000003000000}" name="Column3" headerRowDxfId="14"/>
    <tableColumn id="4" xr3:uid="{00000000-0010-0000-0000-000004000000}" name="Column4" headerRowDxfId="13"/>
    <tableColumn id="5" xr3:uid="{00000000-0010-0000-0000-000005000000}" name="Column5" headerRowDxfId="12"/>
    <tableColumn id="6" xr3:uid="{00000000-0010-0000-0000-000006000000}" name="Column6" headerRowDxfId="11"/>
    <tableColumn id="7" xr3:uid="{00000000-0010-0000-0000-000007000000}" name="Column7" headerRowDxfId="10"/>
    <tableColumn id="8" xr3:uid="{00000000-0010-0000-0000-000008000000}" name="Column8" headerRowDxfId="9"/>
    <tableColumn id="9" xr3:uid="{00000000-0010-0000-0000-000009000000}" name="Column9" headerRowDxfId="8"/>
    <tableColumn id="10" xr3:uid="{00000000-0010-0000-0000-00000A000000}" name="Column10" headerRowDxfId="7"/>
    <tableColumn id="11" xr3:uid="{00000000-0010-0000-0000-00000B000000}" name="Column11" headerRowDxfId="6"/>
    <tableColumn id="12" xr3:uid="{00000000-0010-0000-0000-00000C000000}" name="Column12" headerRowDxfId="5"/>
    <tableColumn id="13" xr3:uid="{00000000-0010-0000-0000-00000D000000}" name="Column13" headerRowDxfId="4" dataDxfId="3"/>
    <tableColumn id="14" xr3:uid="{00000000-0010-0000-0000-00000E000000}" name="Column14" headerRowDxfId="2" dataDxfId="1"/>
  </tableColumns>
  <tableStyleInfo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F16" sqref="F16"/>
    </sheetView>
  </sheetViews>
  <sheetFormatPr defaultColWidth="8.88671875" defaultRowHeight="14.4" x14ac:dyDescent="0.3"/>
  <cols>
    <col min="1" max="1" width="20.6640625" customWidth="1"/>
    <col min="2" max="6" width="13.44140625" customWidth="1"/>
    <col min="7" max="7" width="14.886718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J B CHEMICALS &amp; PHARMACEUTICALS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0" t="s">
        <v>2</v>
      </c>
      <c r="B3" s="11">
        <f>'Data Sheet'!B16</f>
        <v>42460</v>
      </c>
      <c r="C3" s="11">
        <f>'Data Sheet'!C16</f>
        <v>42825</v>
      </c>
      <c r="D3" s="11">
        <f>'Data Sheet'!D16</f>
        <v>43190</v>
      </c>
      <c r="E3" s="11">
        <f>'Data Sheet'!E16</f>
        <v>43555</v>
      </c>
      <c r="F3" s="11">
        <f>'Data Sheet'!F16</f>
        <v>43921</v>
      </c>
      <c r="G3" s="11">
        <f>'Data Sheet'!G16</f>
        <v>44286</v>
      </c>
      <c r="H3" s="11">
        <f>'Data Sheet'!H16</f>
        <v>44651</v>
      </c>
      <c r="I3" s="11">
        <f>'Data Sheet'!I16</f>
        <v>45016</v>
      </c>
      <c r="J3" s="11">
        <f>'Data Sheet'!J16</f>
        <v>45382</v>
      </c>
      <c r="K3" s="11">
        <f>'Data Sheet'!K16</f>
        <v>45747</v>
      </c>
      <c r="L3" s="12" t="s">
        <v>3</v>
      </c>
      <c r="M3" s="12" t="s">
        <v>4</v>
      </c>
      <c r="N3" s="12" t="s">
        <v>5</v>
      </c>
    </row>
    <row r="4" spans="1:14" s="2" customFormat="1" x14ac:dyDescent="0.3">
      <c r="A4" s="2" t="s">
        <v>6</v>
      </c>
      <c r="B4" s="1">
        <f>'Data Sheet'!B17</f>
        <v>1210.3599999999999</v>
      </c>
      <c r="C4" s="1">
        <f>'Data Sheet'!C17</f>
        <v>1344.29</v>
      </c>
      <c r="D4" s="1">
        <f>'Data Sheet'!D17</f>
        <v>1408.38</v>
      </c>
      <c r="E4" s="1">
        <f>'Data Sheet'!E17</f>
        <v>1643.2</v>
      </c>
      <c r="F4" s="1">
        <f>'Data Sheet'!F17</f>
        <v>1774.73</v>
      </c>
      <c r="G4" s="1">
        <f>'Data Sheet'!G17</f>
        <v>2042.52</v>
      </c>
      <c r="H4" s="1">
        <f>'Data Sheet'!H17</f>
        <v>2424.2399999999998</v>
      </c>
      <c r="I4" s="1">
        <f>'Data Sheet'!I17</f>
        <v>3149.28</v>
      </c>
      <c r="J4" s="1">
        <f>'Data Sheet'!J17</f>
        <v>3484.18</v>
      </c>
      <c r="K4" s="1">
        <f>'Data Sheet'!K17</f>
        <v>3917.99</v>
      </c>
      <c r="L4" s="1" t="e">
        <f>SUM(#REF!)</f>
        <v>#REF!</v>
      </c>
      <c r="M4" s="1">
        <f>$K4+M23*K4</f>
        <v>4597.896878064631</v>
      </c>
      <c r="N4" s="1" t="e">
        <f>$K4+N23*L4</f>
        <v>#REF!</v>
      </c>
    </row>
    <row r="5" spans="1:14" x14ac:dyDescent="0.3">
      <c r="A5" t="s">
        <v>7</v>
      </c>
      <c r="B5" s="6">
        <f>SUM('Data Sheet'!B18,'Data Sheet'!B20:B24, -1*'Data Sheet'!B19)</f>
        <v>1004.2899999999998</v>
      </c>
      <c r="C5" s="6">
        <f>SUM('Data Sheet'!C18,'Data Sheet'!C20:C24, -1*'Data Sheet'!C19)</f>
        <v>1111.9100000000001</v>
      </c>
      <c r="D5" s="6">
        <f>SUM('Data Sheet'!D18,'Data Sheet'!D20:D24, -1*'Data Sheet'!D19)</f>
        <v>1190.8300000000002</v>
      </c>
      <c r="E5" s="6">
        <f>SUM('Data Sheet'!E18,'Data Sheet'!E20:E24, -1*'Data Sheet'!E19)</f>
        <v>1337.36</v>
      </c>
      <c r="F5" s="6">
        <f>SUM('Data Sheet'!F18,'Data Sheet'!F20:F24, -1*'Data Sheet'!F19)</f>
        <v>1397.1599999999999</v>
      </c>
      <c r="G5" s="6">
        <f>SUM('Data Sheet'!G18,'Data Sheet'!G20:G24, -1*'Data Sheet'!G19)</f>
        <v>1482.1100000000001</v>
      </c>
      <c r="H5" s="6">
        <f>SUM('Data Sheet'!H18,'Data Sheet'!H20:H24, -1*'Data Sheet'!H19)</f>
        <v>1880.79</v>
      </c>
      <c r="I5" s="6">
        <f>SUM('Data Sheet'!I18,'Data Sheet'!I20:I24, -1*'Data Sheet'!I19)</f>
        <v>2453.5300000000002</v>
      </c>
      <c r="J5" s="6">
        <f>SUM('Data Sheet'!J18,'Data Sheet'!J20:J24, -1*'Data Sheet'!J19)</f>
        <v>2587.0500000000002</v>
      </c>
      <c r="K5" s="6">
        <f>SUM('Data Sheet'!K18,'Data Sheet'!K20:K24, -1*'Data Sheet'!K19)</f>
        <v>2886.15</v>
      </c>
      <c r="L5" s="6" t="e">
        <f>SUM(#REF!)</f>
        <v>#REF!</v>
      </c>
      <c r="M5" s="6" t="e">
        <f t="shared" ref="M5:N5" si="0">M4-M6</f>
        <v>#REF!</v>
      </c>
      <c r="N5" s="6" t="e">
        <f t="shared" si="0"/>
        <v>#REF!</v>
      </c>
    </row>
    <row r="6" spans="1:14" s="2" customFormat="1" x14ac:dyDescent="0.3">
      <c r="A6" s="2" t="s">
        <v>8</v>
      </c>
      <c r="B6" s="1">
        <f>B4-B5</f>
        <v>206.07000000000005</v>
      </c>
      <c r="C6" s="1">
        <f t="shared" ref="C6:K6" si="1">C4-C5</f>
        <v>232.37999999999988</v>
      </c>
      <c r="D6" s="1">
        <f t="shared" si="1"/>
        <v>217.54999999999995</v>
      </c>
      <c r="E6" s="1">
        <f t="shared" si="1"/>
        <v>305.84000000000015</v>
      </c>
      <c r="F6" s="1">
        <f t="shared" si="1"/>
        <v>377.57000000000016</v>
      </c>
      <c r="G6" s="1">
        <f t="shared" si="1"/>
        <v>560.40999999999985</v>
      </c>
      <c r="H6" s="1">
        <f t="shared" si="1"/>
        <v>543.44999999999982</v>
      </c>
      <c r="I6" s="1">
        <f t="shared" si="1"/>
        <v>695.75</v>
      </c>
      <c r="J6" s="1">
        <f t="shared" si="1"/>
        <v>897.12999999999965</v>
      </c>
      <c r="K6" s="1">
        <f t="shared" si="1"/>
        <v>1031.8399999999997</v>
      </c>
      <c r="L6" s="1" t="e">
        <f>SUM(#REF!)</f>
        <v>#REF!</v>
      </c>
      <c r="M6" s="1" t="e">
        <f>M4*M24</f>
        <v>#REF!</v>
      </c>
      <c r="N6" s="1" t="e">
        <f>N4*N24</f>
        <v>#REF!</v>
      </c>
    </row>
    <row r="7" spans="1:14" x14ac:dyDescent="0.3">
      <c r="A7" t="s">
        <v>9</v>
      </c>
      <c r="B7" s="6">
        <f>'Data Sheet'!B25</f>
        <v>58.03</v>
      </c>
      <c r="C7" s="6">
        <f>'Data Sheet'!C25</f>
        <v>50.16</v>
      </c>
      <c r="D7" s="6">
        <f>'Data Sheet'!D25</f>
        <v>36.86</v>
      </c>
      <c r="E7" s="6">
        <f>'Data Sheet'!E25</f>
        <v>41.44</v>
      </c>
      <c r="F7" s="6">
        <f>'Data Sheet'!F25</f>
        <v>40.67</v>
      </c>
      <c r="G7" s="6">
        <f>'Data Sheet'!G25</f>
        <v>112.38</v>
      </c>
      <c r="H7" s="6">
        <f>'Data Sheet'!H25</f>
        <v>39.229999999999997</v>
      </c>
      <c r="I7" s="6">
        <f>'Data Sheet'!I25</f>
        <v>9.94</v>
      </c>
      <c r="J7" s="6">
        <f>'Data Sheet'!J25</f>
        <v>37.03</v>
      </c>
      <c r="K7" s="6">
        <f>'Data Sheet'!K25</f>
        <v>38.32</v>
      </c>
      <c r="L7" s="6" t="e">
        <f>SUM(#REF!)</f>
        <v>#REF!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41.22</v>
      </c>
      <c r="C8" s="6">
        <f>'Data Sheet'!C26</f>
        <v>47.22</v>
      </c>
      <c r="D8" s="6">
        <f>'Data Sheet'!D26</f>
        <v>56.97</v>
      </c>
      <c r="E8" s="6">
        <f>'Data Sheet'!E26</f>
        <v>55.64</v>
      </c>
      <c r="F8" s="6">
        <f>'Data Sheet'!F26</f>
        <v>66.319999999999993</v>
      </c>
      <c r="G8" s="6">
        <f>'Data Sheet'!G26</f>
        <v>68.67</v>
      </c>
      <c r="H8" s="6">
        <f>'Data Sheet'!H26</f>
        <v>72.66</v>
      </c>
      <c r="I8" s="6">
        <f>'Data Sheet'!I26</f>
        <v>114.41</v>
      </c>
      <c r="J8" s="6">
        <f>'Data Sheet'!J26</f>
        <v>138.32</v>
      </c>
      <c r="K8" s="6">
        <f>'Data Sheet'!K26</f>
        <v>171.04</v>
      </c>
      <c r="L8" s="6" t="e">
        <f>SUM(#REF!)</f>
        <v>#REF!</v>
      </c>
      <c r="M8" s="6" t="e">
        <f>+$L8</f>
        <v>#REF!</v>
      </c>
      <c r="N8" s="6" t="e">
        <f>+$L8</f>
        <v>#REF!</v>
      </c>
    </row>
    <row r="9" spans="1:14" x14ac:dyDescent="0.3">
      <c r="A9" t="s">
        <v>11</v>
      </c>
      <c r="B9" s="6">
        <f>'Data Sheet'!B27</f>
        <v>10.65</v>
      </c>
      <c r="C9" s="6">
        <f>'Data Sheet'!C27</f>
        <v>5.37</v>
      </c>
      <c r="D9" s="6">
        <f>'Data Sheet'!D27</f>
        <v>3.49</v>
      </c>
      <c r="E9" s="6">
        <f>'Data Sheet'!E27</f>
        <v>4.6500000000000004</v>
      </c>
      <c r="F9" s="6">
        <f>'Data Sheet'!F27</f>
        <v>3.03</v>
      </c>
      <c r="G9" s="6">
        <f>'Data Sheet'!G27</f>
        <v>7.24</v>
      </c>
      <c r="H9" s="6">
        <f>'Data Sheet'!H27</f>
        <v>5.12</v>
      </c>
      <c r="I9" s="6">
        <f>'Data Sheet'!I27</f>
        <v>36.049999999999997</v>
      </c>
      <c r="J9" s="6">
        <f>'Data Sheet'!J27</f>
        <v>44.33</v>
      </c>
      <c r="K9" s="6">
        <f>'Data Sheet'!K27</f>
        <v>11.73</v>
      </c>
      <c r="L9" s="6" t="e">
        <f>SUM(#REF!)</f>
        <v>#REF!</v>
      </c>
      <c r="M9" s="6" t="e">
        <f>+$L9</f>
        <v>#REF!</v>
      </c>
      <c r="N9" s="6" t="e">
        <f>+$L9</f>
        <v>#REF!</v>
      </c>
    </row>
    <row r="10" spans="1:14" x14ac:dyDescent="0.3">
      <c r="A10" t="s">
        <v>12</v>
      </c>
      <c r="B10" s="6">
        <f>'Data Sheet'!B28</f>
        <v>212.23</v>
      </c>
      <c r="C10" s="6">
        <f>'Data Sheet'!C28</f>
        <v>229.95</v>
      </c>
      <c r="D10" s="6">
        <f>'Data Sheet'!D28</f>
        <v>193.95</v>
      </c>
      <c r="E10" s="6">
        <f>'Data Sheet'!E28</f>
        <v>286.99</v>
      </c>
      <c r="F10" s="6">
        <f>'Data Sheet'!F28</f>
        <v>348.89</v>
      </c>
      <c r="G10" s="6">
        <f>'Data Sheet'!G28</f>
        <v>596.88</v>
      </c>
      <c r="H10" s="6">
        <f>'Data Sheet'!H28</f>
        <v>504.9</v>
      </c>
      <c r="I10" s="6">
        <f>'Data Sheet'!I28</f>
        <v>555.23</v>
      </c>
      <c r="J10" s="6">
        <f>'Data Sheet'!J28</f>
        <v>751.51</v>
      </c>
      <c r="K10" s="6">
        <f>'Data Sheet'!K28</f>
        <v>887.39</v>
      </c>
      <c r="L10" s="6" t="e">
        <f>SUM(#REF!)</f>
        <v>#REF!</v>
      </c>
      <c r="M10" s="6" t="e">
        <f>M6+M7-SUM(M8:M9)</f>
        <v>#REF!</v>
      </c>
      <c r="N10" s="6" t="e">
        <f>N6+N7-SUM(N8:N9)</f>
        <v>#REF!</v>
      </c>
    </row>
    <row r="11" spans="1:14" x14ac:dyDescent="0.3">
      <c r="A11" t="s">
        <v>13</v>
      </c>
      <c r="B11" s="6">
        <f>'Data Sheet'!B29</f>
        <v>49.58</v>
      </c>
      <c r="C11" s="6">
        <f>'Data Sheet'!C29</f>
        <v>45.54</v>
      </c>
      <c r="D11" s="6">
        <f>'Data Sheet'!D29</f>
        <v>55.23</v>
      </c>
      <c r="E11" s="6">
        <f>'Data Sheet'!E29</f>
        <v>93.02</v>
      </c>
      <c r="F11" s="6">
        <f>'Data Sheet'!F29</f>
        <v>76.5</v>
      </c>
      <c r="G11" s="6">
        <f>'Data Sheet'!G29</f>
        <v>148.36000000000001</v>
      </c>
      <c r="H11" s="6">
        <f>'Data Sheet'!H29</f>
        <v>118.86</v>
      </c>
      <c r="I11" s="6">
        <f>'Data Sheet'!I29</f>
        <v>145.22999999999999</v>
      </c>
      <c r="J11" s="6">
        <f>'Data Sheet'!J29</f>
        <v>198.88</v>
      </c>
      <c r="K11" s="6">
        <f>'Data Sheet'!K29</f>
        <v>227.8</v>
      </c>
      <c r="L11" s="6" t="e">
        <f>SUM(#REF!)</f>
        <v>#REF!</v>
      </c>
      <c r="M11" s="7" t="e">
        <f>IF($L10&gt;0,$L11/$L10,0)</f>
        <v>#REF!</v>
      </c>
      <c r="N11" s="7" t="e">
        <f>IF($L10&gt;0,$L11/$L10,0)</f>
        <v>#REF!</v>
      </c>
    </row>
    <row r="12" spans="1:14" s="2" customFormat="1" x14ac:dyDescent="0.3">
      <c r="A12" s="2" t="s">
        <v>14</v>
      </c>
      <c r="B12" s="1">
        <f>'Data Sheet'!B30</f>
        <v>162.55000000000001</v>
      </c>
      <c r="C12" s="1">
        <f>'Data Sheet'!C30</f>
        <v>184.06</v>
      </c>
      <c r="D12" s="1">
        <f>'Data Sheet'!D30</f>
        <v>138.34</v>
      </c>
      <c r="E12" s="1">
        <f>'Data Sheet'!E30</f>
        <v>193.47</v>
      </c>
      <c r="F12" s="1">
        <f>'Data Sheet'!F30</f>
        <v>272.05</v>
      </c>
      <c r="G12" s="1">
        <f>'Data Sheet'!G30</f>
        <v>447.96</v>
      </c>
      <c r="H12" s="1">
        <f>'Data Sheet'!H30</f>
        <v>385.36</v>
      </c>
      <c r="I12" s="1">
        <f>'Data Sheet'!I30</f>
        <v>409.84</v>
      </c>
      <c r="J12" s="1">
        <f>'Data Sheet'!J30</f>
        <v>552.63</v>
      </c>
      <c r="K12" s="1">
        <f>'Data Sheet'!K30</f>
        <v>659.58</v>
      </c>
      <c r="L12" s="1" t="e">
        <f>SUM(#REF!)</f>
        <v>#REF!</v>
      </c>
      <c r="M12" s="1" t="e">
        <f>M10-M11*M10</f>
        <v>#REF!</v>
      </c>
      <c r="N12" s="1" t="e">
        <f>N10-N11*N10</f>
        <v>#REF!</v>
      </c>
    </row>
    <row r="13" spans="1:14" x14ac:dyDescent="0.3">
      <c r="A13" t="s">
        <v>44</v>
      </c>
      <c r="B13" s="6">
        <f>IF('Data Sheet'!B93&gt;0,B12/'Data Sheet'!B93,0)</f>
        <v>9.5843160377358494</v>
      </c>
      <c r="C13" s="6">
        <f>IF('Data Sheet'!C93&gt;0,C12/'Data Sheet'!C93,0)</f>
        <v>10.852594339622641</v>
      </c>
      <c r="D13" s="6">
        <f>IF('Data Sheet'!D93&gt;0,D12/'Data Sheet'!D93,0)</f>
        <v>8.2788749251944935</v>
      </c>
      <c r="E13" s="6">
        <f>IF('Data Sheet'!E93&gt;0,E12/'Data Sheet'!E93,0)</f>
        <v>12.054205607476636</v>
      </c>
      <c r="F13" s="6">
        <f>IF('Data Sheet'!F93&gt;0,F12/'Data Sheet'!F93,0)</f>
        <v>17.597024579560156</v>
      </c>
      <c r="G13" s="6">
        <f>IF('Data Sheet'!G93&gt;0,G12/'Data Sheet'!G93,0)</f>
        <v>28.975420439844758</v>
      </c>
      <c r="H13" s="6">
        <f>IF('Data Sheet'!H93&gt;0,H12/'Data Sheet'!H93,0)</f>
        <v>24.92626131953428</v>
      </c>
      <c r="I13" s="6">
        <f>IF('Data Sheet'!I93&gt;0,I12/'Data Sheet'!I93,0)</f>
        <v>26.475452196382427</v>
      </c>
      <c r="J13" s="6">
        <f>IF('Data Sheet'!J93&gt;0,J12/'Data Sheet'!J93,0)</f>
        <v>35.607603092783506</v>
      </c>
      <c r="K13" s="6">
        <f>IF('Data Sheet'!K93&gt;0,K12/'Data Sheet'!K93,0)</f>
        <v>42.362235067437382</v>
      </c>
      <c r="L13" s="6" t="e">
        <f>IF('Data Sheet'!$B6&gt;0,'Profit &amp; Loss'!L12/'Data Sheet'!$B6,0)</f>
        <v>#REF!</v>
      </c>
      <c r="M13" s="6" t="e">
        <f>IF('Data Sheet'!$B6&gt;0,'Profit &amp; Loss'!M12/'Data Sheet'!$B6,0)</f>
        <v>#REF!</v>
      </c>
      <c r="N13" s="6" t="e">
        <f>IF('Data Sheet'!$B6&gt;0,'Profit &amp; Loss'!N12/'Data Sheet'!$B6,0)</f>
        <v>#REF!</v>
      </c>
    </row>
    <row r="14" spans="1:14" x14ac:dyDescent="0.3">
      <c r="A14" t="s">
        <v>16</v>
      </c>
      <c r="B14" s="6">
        <f>IF(B15&gt;0,B15/B13,"")</f>
        <v>13.013969855429099</v>
      </c>
      <c r="C14" s="6">
        <f t="shared" ref="C14:K14" si="2">IF(C15&gt;0,C15/C13,"")</f>
        <v>15.948260349885908</v>
      </c>
      <c r="D14" s="6">
        <f t="shared" si="2"/>
        <v>18.728390198062748</v>
      </c>
      <c r="E14" s="6">
        <f t="shared" si="2"/>
        <v>15.032097999689872</v>
      </c>
      <c r="F14" s="6">
        <f t="shared" si="2"/>
        <v>14.462672302885499</v>
      </c>
      <c r="G14" s="6">
        <f t="shared" si="2"/>
        <v>21.664224037860524</v>
      </c>
      <c r="H14" s="6">
        <f t="shared" si="2"/>
        <v>31.591179676146982</v>
      </c>
      <c r="I14" s="6">
        <f t="shared" si="2"/>
        <v>37.324386101893424</v>
      </c>
      <c r="J14" s="6">
        <f t="shared" si="2"/>
        <v>46.349651665671423</v>
      </c>
      <c r="K14" s="6">
        <f t="shared" si="2"/>
        <v>38.317147275538979</v>
      </c>
      <c r="L14" s="6" t="e">
        <f t="shared" ref="L14" si="3">IF(L13&gt;0,L15/L13,0)</f>
        <v>#REF!</v>
      </c>
      <c r="M14" s="6" t="e">
        <f>M25</f>
        <v>#REF!</v>
      </c>
      <c r="N14" s="6" t="e">
        <f>N25</f>
        <v>#REF!</v>
      </c>
    </row>
    <row r="15" spans="1:14" s="2" customFormat="1" x14ac:dyDescent="0.3">
      <c r="A15" s="2" t="s">
        <v>45</v>
      </c>
      <c r="B15" s="1">
        <f>'Data Sheet'!B90</f>
        <v>124.73</v>
      </c>
      <c r="C15" s="1">
        <f>'Data Sheet'!C90</f>
        <v>173.08</v>
      </c>
      <c r="D15" s="1">
        <f>'Data Sheet'!D90</f>
        <v>155.05000000000001</v>
      </c>
      <c r="E15" s="1">
        <f>'Data Sheet'!E90</f>
        <v>181.2</v>
      </c>
      <c r="F15" s="1">
        <f>'Data Sheet'!F90</f>
        <v>254.5</v>
      </c>
      <c r="G15" s="1">
        <f>'Data Sheet'!G90</f>
        <v>627.73</v>
      </c>
      <c r="H15" s="1">
        <f>'Data Sheet'!H90</f>
        <v>787.45</v>
      </c>
      <c r="I15" s="1">
        <f>'Data Sheet'!I90</f>
        <v>988.18</v>
      </c>
      <c r="J15" s="1">
        <f>'Data Sheet'!J90</f>
        <v>1650.4</v>
      </c>
      <c r="K15" s="1">
        <f>'Data Sheet'!K90</f>
        <v>1623.2</v>
      </c>
      <c r="L15" s="1">
        <f>'Data Sheet'!B8</f>
        <v>1846</v>
      </c>
      <c r="M15" s="8" t="e">
        <f>M13*M14</f>
        <v>#REF!</v>
      </c>
      <c r="N15" s="9" t="e">
        <f>N13*N14</f>
        <v>#REF!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0.26084281759458627</v>
      </c>
      <c r="C18" s="5">
        <f>IF('Data Sheet'!C30&gt;0, 'Data Sheet'!C31/'Data Sheet'!C30, 0)</f>
        <v>4.6071933065304792E-2</v>
      </c>
      <c r="D18" s="5">
        <f>IF('Data Sheet'!D30&gt;0, 'Data Sheet'!D31/'Data Sheet'!D30, 0)</f>
        <v>0.12078935954893741</v>
      </c>
      <c r="E18" s="5">
        <f>IF('Data Sheet'!E30&gt;0, 'Data Sheet'!E31/'Data Sheet'!E30, 0)</f>
        <v>0.20737065178063782</v>
      </c>
      <c r="F18" s="5">
        <f>IF('Data Sheet'!F30&gt;0, 'Data Sheet'!F31/'Data Sheet'!F30, 0)</f>
        <v>0.312552839551553</v>
      </c>
      <c r="G18" s="5">
        <f>IF('Data Sheet'!G30&gt;0, 'Data Sheet'!G31/'Data Sheet'!G30, 0)</f>
        <v>0.28471292079649974</v>
      </c>
      <c r="H18" s="5">
        <f>IF('Data Sheet'!H30&gt;0, 'Data Sheet'!H31/'Data Sheet'!H30, 0)</f>
        <v>0.33096325513805275</v>
      </c>
      <c r="I18" s="5">
        <f>IF('Data Sheet'!I30&gt;0, 'Data Sheet'!I31/'Data Sheet'!I30, 0)</f>
        <v>0.33520398204177243</v>
      </c>
      <c r="J18" s="5">
        <f>IF('Data Sheet'!J30&gt;0, 'Data Sheet'!J31/'Data Sheet'!J30, 0)</f>
        <v>0.34402764960280841</v>
      </c>
      <c r="K18" s="5">
        <f>IF('Data Sheet'!K30&gt;0, 'Data Sheet'!K31/'Data Sheet'!K30, 0)</f>
        <v>0.36589951181054609</v>
      </c>
    </row>
    <row r="19" spans="1:14" x14ac:dyDescent="0.3">
      <c r="A19" t="s">
        <v>18</v>
      </c>
      <c r="B19" s="5">
        <f t="shared" ref="B19:L19" si="4">IF(B6&gt;0,B6/B4,0)</f>
        <v>0.1702551307049143</v>
      </c>
      <c r="C19" s="5">
        <f t="shared" ref="C19:K19" si="5">IF(C6&gt;0,C6/C4,0)</f>
        <v>0.17286448608559157</v>
      </c>
      <c r="D19" s="5">
        <f t="shared" si="5"/>
        <v>0.15446825430636613</v>
      </c>
      <c r="E19" s="5">
        <f t="shared" si="5"/>
        <v>0.18612463485881214</v>
      </c>
      <c r="F19" s="5">
        <f t="shared" si="5"/>
        <v>0.2127478546032355</v>
      </c>
      <c r="G19" s="5">
        <f t="shared" si="5"/>
        <v>0.27437185437596689</v>
      </c>
      <c r="H19" s="5">
        <f t="shared" si="5"/>
        <v>0.22417334917334911</v>
      </c>
      <c r="I19" s="5">
        <f t="shared" si="5"/>
        <v>0.2209235126759132</v>
      </c>
      <c r="J19" s="5">
        <f t="shared" si="5"/>
        <v>0.25748669701335741</v>
      </c>
      <c r="K19" s="5">
        <f t="shared" si="5"/>
        <v>0.26335952873794977</v>
      </c>
      <c r="L19" s="5" t="e">
        <f t="shared" si="4"/>
        <v>#REF!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0"/>
      <c r="B22" s="11"/>
      <c r="C22" s="11"/>
      <c r="D22" s="11"/>
      <c r="E22" s="11"/>
      <c r="F22" s="11"/>
      <c r="G22" s="11" t="s">
        <v>19</v>
      </c>
      <c r="H22" s="11" t="s">
        <v>50</v>
      </c>
      <c r="I22" s="11" t="s">
        <v>51</v>
      </c>
      <c r="J22" s="11" t="s">
        <v>52</v>
      </c>
      <c r="K22" s="11" t="s">
        <v>53</v>
      </c>
      <c r="L22" s="12" t="s">
        <v>54</v>
      </c>
      <c r="M22" s="12" t="s">
        <v>20</v>
      </c>
      <c r="N22" s="12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0.13941831392590864</v>
      </c>
      <c r="I23" s="5">
        <f>IF(D4=0,"",POWER($K4/D4,1/7)-1)</f>
        <v>0.15738443942485203</v>
      </c>
      <c r="J23" s="5">
        <f>IF(F4=0,"",POWER($K4/F4,1/5)-1)</f>
        <v>0.17161846190386076</v>
      </c>
      <c r="K23" s="5">
        <f>IF(H4=0,"",POWER($K4/H4, 1/3)-1)</f>
        <v>0.17353461291749883</v>
      </c>
      <c r="L23" s="5" t="str">
        <f>IF(ISERROR(MAX(IF(J4=0,"",(K4-J4)/J4),IF(K4=0,"",(L4-K4)/K4))),"",MAX(IF(J4=0,"",(K4-J4)/J4),IF(K4=0,"",(L4-K4)/K4)))</f>
        <v/>
      </c>
      <c r="M23" s="13">
        <f>MAX(K23:L23)</f>
        <v>0.17353461291749883</v>
      </c>
      <c r="N23" s="13">
        <f>MIN(H23:L23)</f>
        <v>0.13941831392590864</v>
      </c>
    </row>
    <row r="24" spans="1:14" x14ac:dyDescent="0.3">
      <c r="G24" t="s">
        <v>18</v>
      </c>
      <c r="H24" s="5">
        <f>IF(SUM(B4:$K$4)=0,"",SUMPRODUCT(B19:$K$19,B4:$K$4)/SUM(B4:$K$4))</f>
        <v>0.22625793723606724</v>
      </c>
      <c r="I24" s="5">
        <f>IF(SUM(E4:$K$4)=0,"",SUMPRODUCT(E19:$K$19,E4:$K$4)/SUM(E4:$K$4))</f>
        <v>0.23931202518531536</v>
      </c>
      <c r="J24" s="5">
        <f>IF(SUM(G4:$K$4)=0,"",SUMPRODUCT(G19:$K$19,G4:$K$4)/SUM(G4:$K$4))</f>
        <v>0.24827059949221636</v>
      </c>
      <c r="K24" s="5">
        <f>IF(SUM(I4:$K$4)=0, "", SUMPRODUCT(I19:$K$19,I4:$K$4)/SUM(I4:$K$4))</f>
        <v>0.24875443659402255</v>
      </c>
      <c r="L24" s="5" t="e">
        <f>L19</f>
        <v>#REF!</v>
      </c>
      <c r="M24" s="13" t="e">
        <f>MAX(K24:L24)</f>
        <v>#REF!</v>
      </c>
      <c r="N24" s="13" t="e">
        <f>MIN(H24:L24)</f>
        <v>#REF!</v>
      </c>
    </row>
    <row r="25" spans="1:14" x14ac:dyDescent="0.3">
      <c r="G25" t="s">
        <v>23</v>
      </c>
      <c r="H25" s="6">
        <f>IF(ISERROR(AVERAGEIF(B14:$L14,"&gt;0")),"",AVERAGEIF(B14:$L14,"&gt;0"))</f>
        <v>25.243197946306445</v>
      </c>
      <c r="I25" s="6">
        <f>IF(ISERROR(AVERAGEIF(E14:$L14,"&gt;0")),"",AVERAGEIF(E14:$L14,"&gt;0"))</f>
        <v>29.248765579955244</v>
      </c>
      <c r="J25" s="6">
        <f>IF(ISERROR(AVERAGEIF(G14:$L14,"&gt;0")),"",AVERAGEIF(G14:$L14,"&gt;0"))</f>
        <v>35.049317751422265</v>
      </c>
      <c r="K25" s="6">
        <f>IF(ISERROR(AVERAGEIF(I14:$L14,"&gt;0")),"",AVERAGEIF(I14:$L14,"&gt;0"))</f>
        <v>40.663728347701273</v>
      </c>
      <c r="L25" s="6" t="e">
        <f>L14</f>
        <v>#REF!</v>
      </c>
      <c r="M25" s="1" t="e">
        <f>MAX(K25:L25)</f>
        <v>#REF!</v>
      </c>
      <c r="N25" s="1" t="e">
        <f>MIN(H25:L25)</f>
        <v>#REF!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995D-37B4-4A7C-BFA8-E2B4244ABE38}">
  <sheetPr>
    <tabColor theme="7" tint="-0.499984740745262"/>
  </sheetPr>
  <dimension ref="A1"/>
  <sheetViews>
    <sheetView workbookViewId="0">
      <selection activeCell="B1" sqref="B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5FB2-E39C-438B-9D29-7C62BE63130A}">
  <sheetPr>
    <tabColor theme="7" tint="-0.499984740745262"/>
  </sheetPr>
  <dimension ref="A1:M103"/>
  <sheetViews>
    <sheetView showGridLines="0" zoomScale="87" zoomScaleNormal="87" workbookViewId="0">
      <selection activeCell="N14" sqref="N14"/>
    </sheetView>
  </sheetViews>
  <sheetFormatPr defaultRowHeight="14.4" x14ac:dyDescent="0.3"/>
  <cols>
    <col min="1" max="1" width="2" bestFit="1" customWidth="1"/>
    <col min="2" max="2" width="25.5546875" bestFit="1" customWidth="1"/>
    <col min="3" max="13" width="15.77734375" customWidth="1"/>
  </cols>
  <sheetData>
    <row r="1" spans="1:13" x14ac:dyDescent="0.3">
      <c r="A1" s="2"/>
    </row>
    <row r="2" spans="1:13" x14ac:dyDescent="0.3">
      <c r="B2" s="92" t="str">
        <f>"Historical Financial Statements - "&amp;'Data Sheet'!B1</f>
        <v>Historical Financial Statements - J B CHEMICALS &amp; PHARMACEUTICALS LTD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spans="1:13" x14ac:dyDescent="0.3">
      <c r="B3" s="28" t="s">
        <v>75</v>
      </c>
      <c r="C3" s="23">
        <f>'Data Sheet'!B16</f>
        <v>42460</v>
      </c>
      <c r="D3" s="23">
        <f>'Data Sheet'!C16</f>
        <v>42825</v>
      </c>
      <c r="E3" s="23">
        <f>'Data Sheet'!D16</f>
        <v>43190</v>
      </c>
      <c r="F3" s="23">
        <f>'Data Sheet'!E16</f>
        <v>43555</v>
      </c>
      <c r="G3" s="23">
        <f>'Data Sheet'!F16</f>
        <v>43921</v>
      </c>
      <c r="H3" s="23">
        <f>'Data Sheet'!G16</f>
        <v>44286</v>
      </c>
      <c r="I3" s="23">
        <f>'Data Sheet'!H16</f>
        <v>44651</v>
      </c>
      <c r="J3" s="23">
        <f>'Data Sheet'!I16</f>
        <v>45016</v>
      </c>
      <c r="K3" s="23">
        <f>'Data Sheet'!J16</f>
        <v>45382</v>
      </c>
      <c r="L3" s="23">
        <f>'Data Sheet'!K16</f>
        <v>45747</v>
      </c>
      <c r="M3" s="23" t="s">
        <v>76</v>
      </c>
    </row>
    <row r="4" spans="1:13" x14ac:dyDescent="0.3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x14ac:dyDescent="0.3">
      <c r="A5" t="s">
        <v>78</v>
      </c>
      <c r="B5" s="33" t="s">
        <v>77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x14ac:dyDescent="0.3">
      <c r="B6" s="29" t="s">
        <v>6</v>
      </c>
      <c r="C6" s="32">
        <f>IFERROR('Data Sheet'!B17,0)</f>
        <v>1210.3599999999999</v>
      </c>
      <c r="D6" s="32">
        <f>IFERROR('Data Sheet'!C17,0)</f>
        <v>1344.29</v>
      </c>
      <c r="E6" s="32">
        <f>IFERROR('Data Sheet'!D17,0)</f>
        <v>1408.38</v>
      </c>
      <c r="F6" s="32">
        <f>IFERROR('Data Sheet'!E17,0)</f>
        <v>1643.2</v>
      </c>
      <c r="G6" s="32">
        <f>IFERROR('Data Sheet'!F17,0)</f>
        <v>1774.73</v>
      </c>
      <c r="H6" s="32">
        <f>IFERROR('Data Sheet'!G17,0)</f>
        <v>2042.52</v>
      </c>
      <c r="I6" s="32">
        <f>IFERROR('Data Sheet'!H17,0)</f>
        <v>2424.2399999999998</v>
      </c>
      <c r="J6" s="32">
        <f>IFERROR('Data Sheet'!I17,0)</f>
        <v>3149.28</v>
      </c>
      <c r="K6" s="32">
        <f>IFERROR('Data Sheet'!J17,0)</f>
        <v>3484.18</v>
      </c>
      <c r="L6" s="32">
        <f>IFERROR('Data Sheet'!K17,0)</f>
        <v>3917.99</v>
      </c>
      <c r="M6" s="32">
        <f>IFERROR(SUM('Data Sheet'!H42:K42),0)</f>
        <v>4193.04</v>
      </c>
    </row>
    <row r="7" spans="1:13" x14ac:dyDescent="0.3">
      <c r="B7" s="30" t="s">
        <v>22</v>
      </c>
      <c r="C7" s="26" t="s">
        <v>79</v>
      </c>
      <c r="D7" s="27">
        <f t="shared" ref="D7:M7" si="0">IFERROR(D6/C6-1,0)</f>
        <v>0.11065302885092043</v>
      </c>
      <c r="E7" s="27">
        <f t="shared" si="0"/>
        <v>4.7675724732014757E-2</v>
      </c>
      <c r="F7" s="27">
        <f t="shared" si="0"/>
        <v>0.16673056987460755</v>
      </c>
      <c r="G7" s="27">
        <f t="shared" si="0"/>
        <v>8.0045034079844202E-2</v>
      </c>
      <c r="H7" s="27">
        <f t="shared" si="0"/>
        <v>0.15089055800037188</v>
      </c>
      <c r="I7" s="27">
        <f t="shared" si="0"/>
        <v>0.18688678691028726</v>
      </c>
      <c r="J7" s="27">
        <f t="shared" si="0"/>
        <v>0.2990792990792992</v>
      </c>
      <c r="K7" s="27">
        <f t="shared" si="0"/>
        <v>0.10634176700706188</v>
      </c>
      <c r="L7" s="27">
        <f t="shared" si="0"/>
        <v>0.12450849267259434</v>
      </c>
      <c r="M7" s="27">
        <f t="shared" si="0"/>
        <v>7.0201812664146823E-2</v>
      </c>
    </row>
    <row r="8" spans="1:13" x14ac:dyDescent="0.3">
      <c r="B8" s="17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3">
      <c r="B9" s="17" t="s">
        <v>114</v>
      </c>
      <c r="C9" s="24">
        <f>IFERROR(SUM('Data Sheet'!B18,'Data Sheet'!B20:B22,-1*('Data Sheet'!B19)),0)</f>
        <v>773.32999999999993</v>
      </c>
      <c r="D9" s="24">
        <f>IFERROR(SUM('Data Sheet'!C18,'Data Sheet'!C20:C22,-1*('Data Sheet'!C19)),0)</f>
        <v>878.39</v>
      </c>
      <c r="E9" s="24">
        <f>IFERROR(SUM('Data Sheet'!D18,'Data Sheet'!D20:D22,-1*('Data Sheet'!D19)),0)</f>
        <v>923.56999999999982</v>
      </c>
      <c r="F9" s="24">
        <f>IFERROR(SUM('Data Sheet'!E18,'Data Sheet'!E20:E22,-1*('Data Sheet'!E19)),0)</f>
        <v>1030.95</v>
      </c>
      <c r="G9" s="24">
        <f>IFERROR(SUM('Data Sheet'!F18,'Data Sheet'!F20:F22,-1*('Data Sheet'!F19)),0)</f>
        <v>1092.83</v>
      </c>
      <c r="H9" s="24">
        <f>IFERROR(SUM('Data Sheet'!G18,'Data Sheet'!G20:G22,-1*('Data Sheet'!G19)),0)</f>
        <v>1190.73</v>
      </c>
      <c r="I9" s="24">
        <f>IFERROR(SUM('Data Sheet'!H18,'Data Sheet'!H20:H22,-1*('Data Sheet'!H19)),0)</f>
        <v>1452.3999999999999</v>
      </c>
      <c r="J9" s="24">
        <f>IFERROR(SUM('Data Sheet'!I18,'Data Sheet'!I20:I22,-1*('Data Sheet'!I19)),0)</f>
        <v>1911.63</v>
      </c>
      <c r="K9" s="24">
        <f>IFERROR(SUM('Data Sheet'!J18,'Data Sheet'!J20:J22,-1*('Data Sheet'!J19)),0)</f>
        <v>1994.8100000000002</v>
      </c>
      <c r="L9" s="24">
        <f>IFERROR(SUM('Data Sheet'!K18,'Data Sheet'!K20:K22,-1*('Data Sheet'!K19)),0)</f>
        <v>2234.2000000000003</v>
      </c>
      <c r="M9" s="24">
        <f>IFERROR(SUM('Data Sheet'!H43:K43),0)</f>
        <v>3060.31</v>
      </c>
    </row>
    <row r="10" spans="1:13" x14ac:dyDescent="0.3">
      <c r="B10" s="30" t="s">
        <v>121</v>
      </c>
      <c r="C10" s="27">
        <f t="shared" ref="C10:M10" si="1">IFERROR(C9/C6,0)</f>
        <v>0.63892560890974581</v>
      </c>
      <c r="D10" s="27">
        <f t="shared" si="1"/>
        <v>0.65342299652604718</v>
      </c>
      <c r="E10" s="27">
        <f t="shared" si="1"/>
        <v>0.65576761953450047</v>
      </c>
      <c r="F10" s="27">
        <f t="shared" si="1"/>
        <v>0.62740384615384615</v>
      </c>
      <c r="G10" s="27">
        <f t="shared" si="1"/>
        <v>0.61577254004834536</v>
      </c>
      <c r="H10" s="27">
        <f t="shared" si="1"/>
        <v>0.5829710357793314</v>
      </c>
      <c r="I10" s="27">
        <f t="shared" si="1"/>
        <v>0.59911559911559908</v>
      </c>
      <c r="J10" s="27">
        <f t="shared" si="1"/>
        <v>0.60700541076055481</v>
      </c>
      <c r="K10" s="27">
        <f t="shared" si="1"/>
        <v>0.5725335660040527</v>
      </c>
      <c r="L10" s="27">
        <f t="shared" si="1"/>
        <v>0.57024137376562989</v>
      </c>
      <c r="M10" s="27">
        <f t="shared" si="1"/>
        <v>0.72985471161734683</v>
      </c>
    </row>
    <row r="11" spans="1:13" x14ac:dyDescent="0.3">
      <c r="B11" s="17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x14ac:dyDescent="0.3">
      <c r="B12" s="40" t="s">
        <v>80</v>
      </c>
      <c r="C12" s="41">
        <f t="shared" ref="C12:M12" si="2">IFERROR(C6-C9,0)</f>
        <v>437.03</v>
      </c>
      <c r="D12" s="41">
        <f t="shared" si="2"/>
        <v>465.9</v>
      </c>
      <c r="E12" s="41">
        <f t="shared" si="2"/>
        <v>484.81000000000029</v>
      </c>
      <c r="F12" s="41">
        <f t="shared" si="2"/>
        <v>612.25</v>
      </c>
      <c r="G12" s="41">
        <f t="shared" si="2"/>
        <v>681.90000000000009</v>
      </c>
      <c r="H12" s="41">
        <f t="shared" si="2"/>
        <v>851.79</v>
      </c>
      <c r="I12" s="41">
        <f t="shared" si="2"/>
        <v>971.83999999999992</v>
      </c>
      <c r="J12" s="41">
        <f t="shared" si="2"/>
        <v>1237.6500000000001</v>
      </c>
      <c r="K12" s="41">
        <f t="shared" si="2"/>
        <v>1489.3699999999997</v>
      </c>
      <c r="L12" s="41">
        <f t="shared" si="2"/>
        <v>1683.7899999999995</v>
      </c>
      <c r="M12" s="41">
        <f t="shared" si="2"/>
        <v>1132.73</v>
      </c>
    </row>
    <row r="13" spans="1:13" x14ac:dyDescent="0.3">
      <c r="B13" s="30" t="s">
        <v>81</v>
      </c>
      <c r="C13" s="27">
        <f t="shared" ref="C13:M13" si="3">IFERROR(C12/C6,0)</f>
        <v>0.36107439109025413</v>
      </c>
      <c r="D13" s="27">
        <f t="shared" si="3"/>
        <v>0.34657700347395276</v>
      </c>
      <c r="E13" s="27">
        <f t="shared" si="3"/>
        <v>0.34423238046549953</v>
      </c>
      <c r="F13" s="27">
        <f t="shared" si="3"/>
        <v>0.37259615384615385</v>
      </c>
      <c r="G13" s="27">
        <f t="shared" si="3"/>
        <v>0.38422745995165469</v>
      </c>
      <c r="H13" s="27">
        <f t="shared" si="3"/>
        <v>0.4170289642206686</v>
      </c>
      <c r="I13" s="27">
        <f t="shared" si="3"/>
        <v>0.40088440088440086</v>
      </c>
      <c r="J13" s="27">
        <f t="shared" si="3"/>
        <v>0.39299458923944519</v>
      </c>
      <c r="K13" s="27">
        <f t="shared" si="3"/>
        <v>0.4274664339959473</v>
      </c>
      <c r="L13" s="27">
        <f t="shared" si="3"/>
        <v>0.42975862623437006</v>
      </c>
      <c r="M13" s="27">
        <f t="shared" si="3"/>
        <v>0.27014528838265317</v>
      </c>
    </row>
    <row r="14" spans="1:13" x14ac:dyDescent="0.3">
      <c r="B14" s="17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3" x14ac:dyDescent="0.3">
      <c r="B15" s="17" t="s">
        <v>115</v>
      </c>
      <c r="C15" s="24">
        <f>IFERROR(SUM('Data Sheet'!B23:B24),0)</f>
        <v>230.95999999999998</v>
      </c>
      <c r="D15" s="24">
        <f>IFERROR(SUM('Data Sheet'!C23:C24),0)</f>
        <v>233.51999999999998</v>
      </c>
      <c r="E15" s="24">
        <f>IFERROR(SUM('Data Sheet'!D23:D24),0)</f>
        <v>267.26</v>
      </c>
      <c r="F15" s="24">
        <f>IFERROR(SUM('Data Sheet'!E23:E24),0)</f>
        <v>306.40999999999997</v>
      </c>
      <c r="G15" s="24">
        <f>IFERROR(SUM('Data Sheet'!F23:F24),0)</f>
        <v>304.33</v>
      </c>
      <c r="H15" s="24">
        <f>IFERROR(SUM('Data Sheet'!G23:G24),0)</f>
        <v>291.38</v>
      </c>
      <c r="I15" s="24">
        <f>IFERROR(SUM('Data Sheet'!H23:H24),0)</f>
        <v>428.39</v>
      </c>
      <c r="J15" s="24">
        <f>IFERROR(SUM('Data Sheet'!I23:I24),0)</f>
        <v>541.9</v>
      </c>
      <c r="K15" s="24">
        <f>IFERROR(SUM('Data Sheet'!J23:J24),0)</f>
        <v>592.24</v>
      </c>
      <c r="L15" s="24">
        <f>IFERROR(SUM('Data Sheet'!K23:K24),0)</f>
        <v>651.94999999999993</v>
      </c>
      <c r="M15" s="22"/>
    </row>
    <row r="16" spans="1:13" x14ac:dyDescent="0.3">
      <c r="B16" s="30" t="s">
        <v>116</v>
      </c>
      <c r="C16" s="27">
        <f t="shared" ref="C16:M16" si="4">IFERROR(C15/C6,0)</f>
        <v>0.19081926038533989</v>
      </c>
      <c r="D16" s="27">
        <f t="shared" si="4"/>
        <v>0.17371251738836113</v>
      </c>
      <c r="E16" s="27">
        <f t="shared" si="4"/>
        <v>0.18976412615913316</v>
      </c>
      <c r="F16" s="27">
        <f t="shared" si="4"/>
        <v>0.18647151898734174</v>
      </c>
      <c r="G16" s="27">
        <f t="shared" si="4"/>
        <v>0.17147960534841919</v>
      </c>
      <c r="H16" s="27">
        <f t="shared" si="4"/>
        <v>0.14265710984470165</v>
      </c>
      <c r="I16" s="27">
        <f t="shared" si="4"/>
        <v>0.17671105171105173</v>
      </c>
      <c r="J16" s="27">
        <f t="shared" si="4"/>
        <v>0.17207107656353196</v>
      </c>
      <c r="K16" s="27">
        <f t="shared" si="4"/>
        <v>0.16997973698258989</v>
      </c>
      <c r="L16" s="27">
        <f t="shared" si="4"/>
        <v>0.16639909749642035</v>
      </c>
      <c r="M16" s="27">
        <f t="shared" si="4"/>
        <v>0</v>
      </c>
    </row>
    <row r="17" spans="2:13" x14ac:dyDescent="0.3">
      <c r="B17" s="30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</row>
    <row r="18" spans="2:13" x14ac:dyDescent="0.3">
      <c r="B18" s="17" t="s">
        <v>9</v>
      </c>
      <c r="C18" s="24">
        <f>IFERROR('Data Sheet'!B25,0)</f>
        <v>58.03</v>
      </c>
      <c r="D18" s="24">
        <f>IFERROR('Data Sheet'!C25,0)</f>
        <v>50.16</v>
      </c>
      <c r="E18" s="24">
        <f>IFERROR('Data Sheet'!D25,0)</f>
        <v>36.86</v>
      </c>
      <c r="F18" s="24">
        <f>IFERROR('Data Sheet'!E25,0)</f>
        <v>41.44</v>
      </c>
      <c r="G18" s="24">
        <f>IFERROR('Data Sheet'!F25,0)</f>
        <v>40.67</v>
      </c>
      <c r="H18" s="24">
        <f>IFERROR('Data Sheet'!G25,0)</f>
        <v>112.38</v>
      </c>
      <c r="I18" s="24">
        <f>IFERROR('Data Sheet'!H25,0)</f>
        <v>39.229999999999997</v>
      </c>
      <c r="J18" s="24">
        <f>IFERROR('Data Sheet'!I25,0)</f>
        <v>9.94</v>
      </c>
      <c r="K18" s="24">
        <f>IFERROR('Data Sheet'!J25,0)</f>
        <v>37.03</v>
      </c>
      <c r="L18" s="24">
        <f>IFERROR('Data Sheet'!K25,0)</f>
        <v>38.32</v>
      </c>
      <c r="M18" s="24">
        <f>IFERROR(SUM('Data Sheet'!H44:K44),0)</f>
        <v>62.650000000000006</v>
      </c>
    </row>
    <row r="19" spans="2:13" x14ac:dyDescent="0.3">
      <c r="B19" s="17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2:13" x14ac:dyDescent="0.3">
      <c r="B20" s="40" t="s">
        <v>117</v>
      </c>
      <c r="C20" s="41">
        <f t="shared" ref="C20:M20" si="5">IFERROR(SUM(C12,C18)-C15,0)</f>
        <v>264.09999999999997</v>
      </c>
      <c r="D20" s="41">
        <f t="shared" si="5"/>
        <v>282.53999999999996</v>
      </c>
      <c r="E20" s="41">
        <f t="shared" si="5"/>
        <v>254.41000000000031</v>
      </c>
      <c r="F20" s="41">
        <f t="shared" si="5"/>
        <v>347.28000000000009</v>
      </c>
      <c r="G20" s="41">
        <f t="shared" si="5"/>
        <v>418.24000000000007</v>
      </c>
      <c r="H20" s="41">
        <f t="shared" si="5"/>
        <v>672.79</v>
      </c>
      <c r="I20" s="41">
        <f t="shared" si="5"/>
        <v>582.67999999999995</v>
      </c>
      <c r="J20" s="41">
        <f t="shared" si="5"/>
        <v>705.69000000000017</v>
      </c>
      <c r="K20" s="41">
        <f t="shared" si="5"/>
        <v>934.15999999999963</v>
      </c>
      <c r="L20" s="41">
        <f t="shared" si="5"/>
        <v>1070.1599999999994</v>
      </c>
      <c r="M20" s="41">
        <f t="shared" si="5"/>
        <v>1195.3800000000001</v>
      </c>
    </row>
    <row r="21" spans="2:13" x14ac:dyDescent="0.3">
      <c r="B21" s="30" t="s">
        <v>118</v>
      </c>
      <c r="C21" s="27">
        <f t="shared" ref="C21:M21" si="6">IFERROR(C20/C6,0)</f>
        <v>0.21819954393734095</v>
      </c>
      <c r="D21" s="27">
        <f t="shared" si="6"/>
        <v>0.21017786340744926</v>
      </c>
      <c r="E21" s="27">
        <f t="shared" si="6"/>
        <v>0.18064016813644065</v>
      </c>
      <c r="F21" s="27">
        <f t="shared" si="6"/>
        <v>0.21134371957156772</v>
      </c>
      <c r="G21" s="27">
        <f t="shared" si="6"/>
        <v>0.23566401649828428</v>
      </c>
      <c r="H21" s="27">
        <f t="shared" si="6"/>
        <v>0.32939212345533947</v>
      </c>
      <c r="I21" s="27">
        <f t="shared" si="6"/>
        <v>0.24035574035574037</v>
      </c>
      <c r="J21" s="27">
        <f t="shared" si="6"/>
        <v>0.22407978966620945</v>
      </c>
      <c r="K21" s="27">
        <f t="shared" si="6"/>
        <v>0.26811473574844003</v>
      </c>
      <c r="L21" s="27">
        <f t="shared" si="6"/>
        <v>0.27314005395623764</v>
      </c>
      <c r="M21" s="27">
        <f t="shared" si="6"/>
        <v>0.28508671512792633</v>
      </c>
    </row>
    <row r="22" spans="2:13" x14ac:dyDescent="0.3">
      <c r="B22" s="17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2:13" x14ac:dyDescent="0.3">
      <c r="B23" s="31" t="s">
        <v>11</v>
      </c>
      <c r="C23" s="24">
        <f>IFERROR('Data Sheet'!B27,0)</f>
        <v>10.65</v>
      </c>
      <c r="D23" s="24">
        <f>IFERROR('Data Sheet'!C27,0)</f>
        <v>5.37</v>
      </c>
      <c r="E23" s="24">
        <f>IFERROR('Data Sheet'!D27,0)</f>
        <v>3.49</v>
      </c>
      <c r="F23" s="24">
        <f>IFERROR('Data Sheet'!E27,0)</f>
        <v>4.6500000000000004</v>
      </c>
      <c r="G23" s="24">
        <f>IFERROR('Data Sheet'!F27,0)</f>
        <v>3.03</v>
      </c>
      <c r="H23" s="24">
        <f>IFERROR('Data Sheet'!G27,0)</f>
        <v>7.24</v>
      </c>
      <c r="I23" s="24">
        <f>IFERROR('Data Sheet'!H27,0)</f>
        <v>5.12</v>
      </c>
      <c r="J23" s="24">
        <f>IFERROR('Data Sheet'!I27,0)</f>
        <v>36.049999999999997</v>
      </c>
      <c r="K23" s="24">
        <f>IFERROR('Data Sheet'!J27,0)</f>
        <v>44.33</v>
      </c>
      <c r="L23" s="24">
        <f>IFERROR('Data Sheet'!K27,0)</f>
        <v>11.73</v>
      </c>
      <c r="M23" s="24">
        <f>IFERROR(SUM('Data Sheet'!H46:K46),0)</f>
        <v>5.79</v>
      </c>
    </row>
    <row r="24" spans="2:13" x14ac:dyDescent="0.3">
      <c r="B24" s="30" t="s">
        <v>119</v>
      </c>
      <c r="C24" s="27">
        <f t="shared" ref="C24:M24" si="7">IFERROR(C23/C6,0)</f>
        <v>8.79903499785188E-3</v>
      </c>
      <c r="D24" s="27">
        <f t="shared" si="7"/>
        <v>3.9946737683089215E-3</v>
      </c>
      <c r="E24" s="27">
        <f t="shared" si="7"/>
        <v>2.4780243968247208E-3</v>
      </c>
      <c r="F24" s="27">
        <f t="shared" si="7"/>
        <v>2.829844206426485E-3</v>
      </c>
      <c r="G24" s="27">
        <f t="shared" si="7"/>
        <v>1.7073019557904581E-3</v>
      </c>
      <c r="H24" s="27">
        <f t="shared" si="7"/>
        <v>3.5446409337485068E-3</v>
      </c>
      <c r="I24" s="27">
        <f t="shared" si="7"/>
        <v>2.1120021120021124E-3</v>
      </c>
      <c r="J24" s="27">
        <f t="shared" si="7"/>
        <v>1.1447060915510844E-2</v>
      </c>
      <c r="K24" s="27">
        <f t="shared" si="7"/>
        <v>1.27232232548261E-2</v>
      </c>
      <c r="L24" s="27">
        <f t="shared" si="7"/>
        <v>2.9938820670803146E-3</v>
      </c>
      <c r="M24" s="27">
        <f t="shared" si="7"/>
        <v>1.3808597103771964E-3</v>
      </c>
    </row>
    <row r="25" spans="2:13" x14ac:dyDescent="0.3">
      <c r="B25" s="17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2:13" x14ac:dyDescent="0.3">
      <c r="B26" s="17" t="s">
        <v>10</v>
      </c>
      <c r="C26" s="24">
        <f>IFERROR('Data Sheet'!B26,0)</f>
        <v>41.22</v>
      </c>
      <c r="D26" s="24">
        <f>IFERROR('Data Sheet'!C26,0)</f>
        <v>47.22</v>
      </c>
      <c r="E26" s="24">
        <f>IFERROR('Data Sheet'!D26,0)</f>
        <v>56.97</v>
      </c>
      <c r="F26" s="24">
        <f>IFERROR('Data Sheet'!E26,0)</f>
        <v>55.64</v>
      </c>
      <c r="G26" s="24">
        <f>IFERROR('Data Sheet'!F26,0)</f>
        <v>66.319999999999993</v>
      </c>
      <c r="H26" s="24">
        <f>IFERROR('Data Sheet'!G26,0)</f>
        <v>68.67</v>
      </c>
      <c r="I26" s="24">
        <f>IFERROR('Data Sheet'!H26,0)</f>
        <v>72.66</v>
      </c>
      <c r="J26" s="24">
        <f>IFERROR('Data Sheet'!I26,0)</f>
        <v>114.41</v>
      </c>
      <c r="K26" s="24">
        <f>IFERROR('Data Sheet'!J26,0)</f>
        <v>138.32</v>
      </c>
      <c r="L26" s="24">
        <f>IFERROR('Data Sheet'!K26,0)</f>
        <v>171.04</v>
      </c>
      <c r="M26" s="24">
        <f>IFERROR(SUM('Data Sheet'!H45:K45),0)</f>
        <v>178.92999999999998</v>
      </c>
    </row>
    <row r="27" spans="2:13" x14ac:dyDescent="0.3">
      <c r="B27" s="30" t="s">
        <v>120</v>
      </c>
      <c r="C27" s="27">
        <f t="shared" ref="C27:M27" si="8">IFERROR(C26/C6,0)</f>
        <v>3.4055983343798543E-2</v>
      </c>
      <c r="D27" s="27">
        <f t="shared" si="8"/>
        <v>3.5126349225241577E-2</v>
      </c>
      <c r="E27" s="27">
        <f t="shared" si="8"/>
        <v>4.0450730626677457E-2</v>
      </c>
      <c r="F27" s="27">
        <f t="shared" si="8"/>
        <v>3.3860759493670886E-2</v>
      </c>
      <c r="G27" s="27">
        <f t="shared" si="8"/>
        <v>3.7369064590106658E-2</v>
      </c>
      <c r="H27" s="27">
        <f t="shared" si="8"/>
        <v>3.3620233828799716E-2</v>
      </c>
      <c r="I27" s="27">
        <f t="shared" si="8"/>
        <v>2.9972279972279973E-2</v>
      </c>
      <c r="J27" s="27">
        <f t="shared" si="8"/>
        <v>3.632893867804704E-2</v>
      </c>
      <c r="K27" s="27">
        <f t="shared" si="8"/>
        <v>3.9699441475469117E-2</v>
      </c>
      <c r="L27" s="27">
        <f t="shared" si="8"/>
        <v>4.3655037404383368E-2</v>
      </c>
      <c r="M27" s="27">
        <f t="shared" si="8"/>
        <v>4.2673096369221369E-2</v>
      </c>
    </row>
    <row r="28" spans="2:13" x14ac:dyDescent="0.3">
      <c r="B28" s="17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2:13" x14ac:dyDescent="0.3">
      <c r="B29" s="40" t="s">
        <v>122</v>
      </c>
      <c r="C29" s="41">
        <f t="shared" ref="C29:M29" si="9">IFERROR(C20-SUM(C26,C23),0)</f>
        <v>212.22999999999996</v>
      </c>
      <c r="D29" s="41">
        <f t="shared" si="9"/>
        <v>229.94999999999996</v>
      </c>
      <c r="E29" s="41">
        <f t="shared" si="9"/>
        <v>193.9500000000003</v>
      </c>
      <c r="F29" s="41">
        <f t="shared" si="9"/>
        <v>286.99000000000007</v>
      </c>
      <c r="G29" s="41">
        <f t="shared" si="9"/>
        <v>348.8900000000001</v>
      </c>
      <c r="H29" s="41">
        <f t="shared" si="9"/>
        <v>596.88</v>
      </c>
      <c r="I29" s="41">
        <f t="shared" si="9"/>
        <v>504.9</v>
      </c>
      <c r="J29" s="41">
        <f t="shared" si="9"/>
        <v>555.23000000000025</v>
      </c>
      <c r="K29" s="41">
        <f t="shared" si="9"/>
        <v>751.50999999999965</v>
      </c>
      <c r="L29" s="41">
        <f t="shared" si="9"/>
        <v>887.38999999999942</v>
      </c>
      <c r="M29" s="41">
        <f t="shared" si="9"/>
        <v>1010.6600000000001</v>
      </c>
    </row>
    <row r="30" spans="2:13" x14ac:dyDescent="0.3">
      <c r="B30" s="30" t="s">
        <v>123</v>
      </c>
      <c r="C30" s="27">
        <f t="shared" ref="C30:M30" si="10">IFERROR(C29/C6,0)</f>
        <v>0.17534452559569053</v>
      </c>
      <c r="D30" s="27">
        <f t="shared" si="10"/>
        <v>0.17105684041389876</v>
      </c>
      <c r="E30" s="27">
        <f t="shared" si="10"/>
        <v>0.13771141311293847</v>
      </c>
      <c r="F30" s="27">
        <f t="shared" si="10"/>
        <v>0.17465311587147034</v>
      </c>
      <c r="G30" s="27">
        <f t="shared" si="10"/>
        <v>0.19658764995238717</v>
      </c>
      <c r="H30" s="27">
        <f t="shared" si="10"/>
        <v>0.29222724869279126</v>
      </c>
      <c r="I30" s="27">
        <f t="shared" si="10"/>
        <v>0.20827145827145829</v>
      </c>
      <c r="J30" s="27">
        <f t="shared" si="10"/>
        <v>0.17630379007265159</v>
      </c>
      <c r="K30" s="27">
        <f t="shared" si="10"/>
        <v>0.21569207101814478</v>
      </c>
      <c r="L30" s="27">
        <f t="shared" si="10"/>
        <v>0.22649113448477395</v>
      </c>
      <c r="M30" s="27">
        <f t="shared" si="10"/>
        <v>0.24103275904832772</v>
      </c>
    </row>
    <row r="31" spans="2:13" x14ac:dyDescent="0.3">
      <c r="B31" s="17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2:13" x14ac:dyDescent="0.3">
      <c r="B32" s="17" t="s">
        <v>13</v>
      </c>
      <c r="C32" s="24">
        <f>IFERROR('Data Sheet'!B29,0)</f>
        <v>49.58</v>
      </c>
      <c r="D32" s="24">
        <f>IFERROR('Data Sheet'!C29,0)</f>
        <v>45.54</v>
      </c>
      <c r="E32" s="24">
        <f>IFERROR('Data Sheet'!D29,0)</f>
        <v>55.23</v>
      </c>
      <c r="F32" s="24">
        <f>IFERROR('Data Sheet'!E29,0)</f>
        <v>93.02</v>
      </c>
      <c r="G32" s="24">
        <f>IFERROR('Data Sheet'!F29,0)</f>
        <v>76.5</v>
      </c>
      <c r="H32" s="24">
        <f>IFERROR('Data Sheet'!G29,0)</f>
        <v>148.36000000000001</v>
      </c>
      <c r="I32" s="24">
        <f>IFERROR('Data Sheet'!H29,0)</f>
        <v>118.86</v>
      </c>
      <c r="J32" s="24">
        <f>IFERROR('Data Sheet'!I29,0)</f>
        <v>145.22999999999999</v>
      </c>
      <c r="K32" s="24">
        <f>IFERROR('Data Sheet'!J29,0)</f>
        <v>198.88</v>
      </c>
      <c r="L32" s="24">
        <f>IFERROR('Data Sheet'!K29,0)</f>
        <v>227.8</v>
      </c>
      <c r="M32" s="24">
        <f>IFERROR(SUM('Data Sheet'!H48:K48),0)</f>
        <v>256.88</v>
      </c>
    </row>
    <row r="33" spans="1:13" x14ac:dyDescent="0.3">
      <c r="B33" s="30" t="s">
        <v>82</v>
      </c>
      <c r="C33" s="27">
        <f t="shared" ref="C33:M33" si="11">IFERROR(C32/C29,0)</f>
        <v>0.23361447486217787</v>
      </c>
      <c r="D33" s="27">
        <f t="shared" si="11"/>
        <v>0.19804305283757342</v>
      </c>
      <c r="E33" s="27">
        <f t="shared" si="11"/>
        <v>0.28476411446248989</v>
      </c>
      <c r="F33" s="27">
        <f t="shared" si="11"/>
        <v>0.32412279173490355</v>
      </c>
      <c r="G33" s="27">
        <f t="shared" si="11"/>
        <v>0.21926681762159986</v>
      </c>
      <c r="H33" s="27">
        <f t="shared" si="11"/>
        <v>0.24855917437340841</v>
      </c>
      <c r="I33" s="27">
        <f t="shared" si="11"/>
        <v>0.23541295306001189</v>
      </c>
      <c r="J33" s="27">
        <f t="shared" si="11"/>
        <v>0.26156727842515703</v>
      </c>
      <c r="K33" s="27">
        <f t="shared" si="11"/>
        <v>0.26464052374552577</v>
      </c>
      <c r="L33" s="27">
        <f t="shared" si="11"/>
        <v>0.25670787365194575</v>
      </c>
      <c r="M33" s="27">
        <f t="shared" si="11"/>
        <v>0.25417054202204498</v>
      </c>
    </row>
    <row r="34" spans="1:13" x14ac:dyDescent="0.3">
      <c r="B34" s="17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spans="1:13" x14ac:dyDescent="0.3">
      <c r="B35" s="40" t="s">
        <v>83</v>
      </c>
      <c r="C35" s="41">
        <f t="shared" ref="C35:M35" si="12">IFERROR(C29-C32,0)</f>
        <v>162.64999999999998</v>
      </c>
      <c r="D35" s="41">
        <f t="shared" si="12"/>
        <v>184.40999999999997</v>
      </c>
      <c r="E35" s="41">
        <f t="shared" si="12"/>
        <v>138.72000000000031</v>
      </c>
      <c r="F35" s="41">
        <f t="shared" si="12"/>
        <v>193.97000000000008</v>
      </c>
      <c r="G35" s="41">
        <f t="shared" si="12"/>
        <v>272.3900000000001</v>
      </c>
      <c r="H35" s="41">
        <f t="shared" si="12"/>
        <v>448.52</v>
      </c>
      <c r="I35" s="41">
        <f t="shared" si="12"/>
        <v>386.03999999999996</v>
      </c>
      <c r="J35" s="41">
        <f t="shared" si="12"/>
        <v>410.00000000000023</v>
      </c>
      <c r="K35" s="41">
        <f t="shared" si="12"/>
        <v>552.62999999999965</v>
      </c>
      <c r="L35" s="41">
        <f t="shared" si="12"/>
        <v>659.58999999999946</v>
      </c>
      <c r="M35" s="41">
        <f t="shared" si="12"/>
        <v>753.78000000000009</v>
      </c>
    </row>
    <row r="36" spans="1:13" x14ac:dyDescent="0.3">
      <c r="B36" s="30" t="s">
        <v>84</v>
      </c>
      <c r="C36" s="42">
        <f t="shared" ref="C36:M36" si="13">IFERROR(C35/C6,0)</f>
        <v>0.13438150632869558</v>
      </c>
      <c r="D36" s="42">
        <f t="shared" si="13"/>
        <v>0.13718022152958065</v>
      </c>
      <c r="E36" s="42">
        <f t="shared" si="13"/>
        <v>9.8496144506454442E-2</v>
      </c>
      <c r="F36" s="42">
        <f t="shared" si="13"/>
        <v>0.11804406037000978</v>
      </c>
      <c r="G36" s="42">
        <f t="shared" si="13"/>
        <v>0.15348250156361817</v>
      </c>
      <c r="H36" s="42">
        <f t="shared" si="13"/>
        <v>0.21959148502829837</v>
      </c>
      <c r="I36" s="42">
        <f t="shared" si="13"/>
        <v>0.15924165924165923</v>
      </c>
      <c r="J36" s="42">
        <f t="shared" si="13"/>
        <v>0.13018848752730788</v>
      </c>
      <c r="K36" s="42">
        <f t="shared" si="13"/>
        <v>0.15861120837614581</v>
      </c>
      <c r="L36" s="42">
        <f t="shared" si="13"/>
        <v>0.16834907695017076</v>
      </c>
      <c r="M36" s="42">
        <f t="shared" si="13"/>
        <v>0.17976933203594531</v>
      </c>
    </row>
    <row r="37" spans="1:13" x14ac:dyDescent="0.3">
      <c r="B37" s="17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1:13" x14ac:dyDescent="0.3">
      <c r="B38" s="17" t="s">
        <v>86</v>
      </c>
      <c r="C38" s="22">
        <f>IFERROR('Data Sheet'!B93,0)</f>
        <v>16.96</v>
      </c>
      <c r="D38" s="22">
        <f>IFERROR('Data Sheet'!C93,0)</f>
        <v>16.96</v>
      </c>
      <c r="E38" s="22">
        <f>IFERROR('Data Sheet'!D93,0)</f>
        <v>16.71</v>
      </c>
      <c r="F38" s="22">
        <f>IFERROR('Data Sheet'!E93,0)</f>
        <v>16.05</v>
      </c>
      <c r="G38" s="22">
        <f>IFERROR('Data Sheet'!F93,0)</f>
        <v>15.46</v>
      </c>
      <c r="H38" s="22">
        <f>IFERROR('Data Sheet'!G93,0)</f>
        <v>15.46</v>
      </c>
      <c r="I38" s="22">
        <f>IFERROR('Data Sheet'!H93,0)</f>
        <v>15.46</v>
      </c>
      <c r="J38" s="22">
        <f>IFERROR('Data Sheet'!I93,0)</f>
        <v>15.48</v>
      </c>
      <c r="K38" s="22">
        <f>IFERROR('Data Sheet'!J93,0)</f>
        <v>15.52</v>
      </c>
      <c r="L38" s="22">
        <f>IFERROR('Data Sheet'!K93,0)</f>
        <v>15.57</v>
      </c>
      <c r="M38" s="22" t="s">
        <v>79</v>
      </c>
    </row>
    <row r="39" spans="1:13" x14ac:dyDescent="0.3">
      <c r="B39" s="17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spans="1:13" x14ac:dyDescent="0.3">
      <c r="B40" s="17" t="s">
        <v>44</v>
      </c>
      <c r="C40" s="24">
        <f t="shared" ref="C40:M40" si="14">IFERROR(C35/C38,0)</f>
        <v>9.5902122641509422</v>
      </c>
      <c r="D40" s="24">
        <f t="shared" si="14"/>
        <v>10.873231132075469</v>
      </c>
      <c r="E40" s="24">
        <f t="shared" si="14"/>
        <v>8.3016157989228194</v>
      </c>
      <c r="F40" s="24">
        <f t="shared" si="14"/>
        <v>12.085358255451718</v>
      </c>
      <c r="G40" s="24">
        <f t="shared" si="14"/>
        <v>17.619016817593796</v>
      </c>
      <c r="H40" s="24">
        <f t="shared" si="14"/>
        <v>29.011642949547216</v>
      </c>
      <c r="I40" s="24">
        <f t="shared" si="14"/>
        <v>24.970245795601549</v>
      </c>
      <c r="J40" s="24">
        <f t="shared" si="14"/>
        <v>26.485788113695104</v>
      </c>
      <c r="K40" s="24">
        <f t="shared" si="14"/>
        <v>35.607603092783485</v>
      </c>
      <c r="L40" s="24">
        <f t="shared" si="14"/>
        <v>42.362877328195211</v>
      </c>
      <c r="M40" s="24">
        <f t="shared" si="14"/>
        <v>0</v>
      </c>
    </row>
    <row r="41" spans="1:13" x14ac:dyDescent="0.3">
      <c r="B41" s="30" t="s">
        <v>87</v>
      </c>
      <c r="C41" s="27"/>
      <c r="D41" s="27">
        <f t="shared" ref="D41:L41" si="15">IFERROR(D40/C40-1,0)</f>
        <v>0.13378419920073759</v>
      </c>
      <c r="E41" s="27">
        <f t="shared" si="15"/>
        <v>-0.23650884469534705</v>
      </c>
      <c r="F41" s="27">
        <f t="shared" si="15"/>
        <v>0.45578385559831136</v>
      </c>
      <c r="G41" s="27">
        <f t="shared" si="15"/>
        <v>0.45788121834500339</v>
      </c>
      <c r="H41" s="27">
        <f t="shared" si="15"/>
        <v>0.64660964058886083</v>
      </c>
      <c r="I41" s="27">
        <f t="shared" si="15"/>
        <v>-0.13930259520199773</v>
      </c>
      <c r="J41" s="27">
        <f t="shared" si="15"/>
        <v>6.0693928706160971E-2</v>
      </c>
      <c r="K41" s="27">
        <f t="shared" si="15"/>
        <v>0.34440413628362943</v>
      </c>
      <c r="L41" s="27">
        <f t="shared" si="15"/>
        <v>0.18971437694947801</v>
      </c>
      <c r="M41" s="27" t="s">
        <v>79</v>
      </c>
    </row>
    <row r="42" spans="1:13" x14ac:dyDescent="0.3">
      <c r="B42" s="17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spans="1:13" x14ac:dyDescent="0.3">
      <c r="B43" s="17" t="s">
        <v>85</v>
      </c>
      <c r="C43" s="24">
        <f>IFERROR('Data Sheet'!B31/C38,0)</f>
        <v>2.5</v>
      </c>
      <c r="D43" s="24">
        <f>IFERROR('Data Sheet'!C31/D38,0)</f>
        <v>0.5</v>
      </c>
      <c r="E43" s="24">
        <f>IFERROR('Data Sheet'!D31/E38,0)</f>
        <v>1</v>
      </c>
      <c r="F43" s="24">
        <f>IFERROR('Data Sheet'!E31/F38,0)</f>
        <v>2.4996884735202491</v>
      </c>
      <c r="G43" s="24">
        <f>IFERROR('Data Sheet'!F31/G38,0)</f>
        <v>5.5</v>
      </c>
      <c r="H43" s="24">
        <f>IFERROR('Data Sheet'!G31/H38,0)</f>
        <v>8.2496765847348001</v>
      </c>
      <c r="I43" s="24">
        <f>IFERROR('Data Sheet'!H31/I38,0)</f>
        <v>8.2496765847348001</v>
      </c>
      <c r="J43" s="24">
        <f>IFERROR('Data Sheet'!I31/J38,0)</f>
        <v>8.8746770025839794</v>
      </c>
      <c r="K43" s="24">
        <f>IFERROR('Data Sheet'!J31/K38,0)</f>
        <v>12.25</v>
      </c>
      <c r="L43" s="24">
        <f>IFERROR('Data Sheet'!K31/L38,0)</f>
        <v>15.500321130378934</v>
      </c>
      <c r="M43" s="22"/>
    </row>
    <row r="44" spans="1:13" x14ac:dyDescent="0.3">
      <c r="B44" s="30" t="s">
        <v>88</v>
      </c>
      <c r="C44" s="27">
        <f t="shared" ref="C44:M44" si="16">IFERROR(C43/C40,0)</f>
        <v>0.26068244697202586</v>
      </c>
      <c r="D44" s="27">
        <f t="shared" si="16"/>
        <v>4.5984491079659462E-2</v>
      </c>
      <c r="E44" s="27">
        <f t="shared" si="16"/>
        <v>0.12045847750865024</v>
      </c>
      <c r="F44" s="27">
        <f t="shared" si="16"/>
        <v>0.20683610867659938</v>
      </c>
      <c r="G44" s="27">
        <f t="shared" si="16"/>
        <v>0.31216270788208073</v>
      </c>
      <c r="H44" s="27">
        <f t="shared" si="16"/>
        <v>0.28435744225452603</v>
      </c>
      <c r="I44" s="27">
        <f t="shared" si="16"/>
        <v>0.3303802714744587</v>
      </c>
      <c r="J44" s="27">
        <f t="shared" si="16"/>
        <v>0.33507317073170717</v>
      </c>
      <c r="K44" s="27">
        <f t="shared" si="16"/>
        <v>0.34402764960280857</v>
      </c>
      <c r="L44" s="27">
        <f t="shared" si="16"/>
        <v>0.36589396443245076</v>
      </c>
      <c r="M44" s="27">
        <f t="shared" si="16"/>
        <v>0</v>
      </c>
    </row>
    <row r="45" spans="1:13" x14ac:dyDescent="0.3">
      <c r="B45" s="30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</row>
    <row r="46" spans="1:13" x14ac:dyDescent="0.3">
      <c r="B46" s="17" t="s">
        <v>124</v>
      </c>
      <c r="C46" s="37">
        <f t="shared" ref="C46:M46" si="17">IFERROR(IF(C40&gt;C43,1-C44,0),0)</f>
        <v>0.73931755302797408</v>
      </c>
      <c r="D46" s="37">
        <f t="shared" si="17"/>
        <v>0.95401550892034059</v>
      </c>
      <c r="E46" s="37">
        <f t="shared" si="17"/>
        <v>0.87954152249134976</v>
      </c>
      <c r="F46" s="37">
        <f t="shared" si="17"/>
        <v>0.79316389132340059</v>
      </c>
      <c r="G46" s="37">
        <f t="shared" si="17"/>
        <v>0.68783729211791922</v>
      </c>
      <c r="H46" s="37">
        <f t="shared" si="17"/>
        <v>0.71564255774547392</v>
      </c>
      <c r="I46" s="37">
        <f t="shared" si="17"/>
        <v>0.6696197285255413</v>
      </c>
      <c r="J46" s="37">
        <f t="shared" si="17"/>
        <v>0.66492682926829283</v>
      </c>
      <c r="K46" s="37">
        <f t="shared" si="17"/>
        <v>0.65597235039719148</v>
      </c>
      <c r="L46" s="37">
        <f t="shared" si="17"/>
        <v>0.63410603556754919</v>
      </c>
      <c r="M46" s="37">
        <f t="shared" si="17"/>
        <v>0</v>
      </c>
    </row>
    <row r="47" spans="1:13" x14ac:dyDescent="0.3">
      <c r="B47" s="17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1:13" x14ac:dyDescent="0.3">
      <c r="A48" t="s">
        <v>78</v>
      </c>
      <c r="B48" s="33" t="s">
        <v>89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</row>
    <row r="49" spans="2:13" x14ac:dyDescent="0.3">
      <c r="B49" s="6" t="s">
        <v>24</v>
      </c>
      <c r="C49" s="24">
        <f>IFERROR('Data Sheet'!B57,0)</f>
        <v>16.96</v>
      </c>
      <c r="D49" s="24">
        <f>IFERROR('Data Sheet'!C57,0)</f>
        <v>16.96</v>
      </c>
      <c r="E49" s="24">
        <f>IFERROR('Data Sheet'!D57,0)</f>
        <v>16.71</v>
      </c>
      <c r="F49" s="24">
        <f>IFERROR('Data Sheet'!E57,0)</f>
        <v>16.05</v>
      </c>
      <c r="G49" s="24">
        <f>IFERROR('Data Sheet'!F57,0)</f>
        <v>15.46</v>
      </c>
      <c r="H49" s="24">
        <f>IFERROR('Data Sheet'!G57,0)</f>
        <v>15.46</v>
      </c>
      <c r="I49" s="24">
        <f>IFERROR('Data Sheet'!H57,0)</f>
        <v>15.46</v>
      </c>
      <c r="J49" s="24">
        <f>IFERROR('Data Sheet'!I57,0)</f>
        <v>15.48</v>
      </c>
      <c r="K49" s="24">
        <f>IFERROR('Data Sheet'!J57,0)</f>
        <v>15.52</v>
      </c>
      <c r="L49" s="24">
        <f>IFERROR('Data Sheet'!K57,0)</f>
        <v>15.57</v>
      </c>
      <c r="M49" s="24"/>
    </row>
    <row r="50" spans="2:13" x14ac:dyDescent="0.3">
      <c r="B50" s="6" t="s">
        <v>25</v>
      </c>
      <c r="C50" s="24">
        <f>IFERROR('Data Sheet'!B58,0)</f>
        <v>1166.8699999999999</v>
      </c>
      <c r="D50" s="24">
        <f>IFERROR('Data Sheet'!C58,0)</f>
        <v>1346.71</v>
      </c>
      <c r="E50" s="24">
        <f>IFERROR('Data Sheet'!D58,0)</f>
        <v>1424.84</v>
      </c>
      <c r="F50" s="24">
        <f>IFERROR('Data Sheet'!E58,0)</f>
        <v>1464.08</v>
      </c>
      <c r="G50" s="24">
        <f>IFERROR('Data Sheet'!F58,0)</f>
        <v>1420.03</v>
      </c>
      <c r="H50" s="24">
        <f>IFERROR('Data Sheet'!G58,0)</f>
        <v>1794.27</v>
      </c>
      <c r="I50" s="24">
        <f>IFERROR('Data Sheet'!H58,0)</f>
        <v>2118.67</v>
      </c>
      <c r="J50" s="24">
        <f>IFERROR('Data Sheet'!I58,0)</f>
        <v>2464.88</v>
      </c>
      <c r="K50" s="24">
        <f>IFERROR('Data Sheet'!J58,0)</f>
        <v>2907.81</v>
      </c>
      <c r="L50" s="24">
        <f>IFERROR('Data Sheet'!K58,0)</f>
        <v>3417.75</v>
      </c>
      <c r="M50" s="24"/>
    </row>
    <row r="51" spans="2:13" x14ac:dyDescent="0.3">
      <c r="B51" s="6" t="s">
        <v>56</v>
      </c>
      <c r="C51" s="24">
        <f>IFERROR('Data Sheet'!B59,0)</f>
        <v>193.42</v>
      </c>
      <c r="D51" s="24">
        <f>IFERROR('Data Sheet'!C59,0)</f>
        <v>48.86</v>
      </c>
      <c r="E51" s="24">
        <f>IFERROR('Data Sheet'!D59,0)</f>
        <v>29.29</v>
      </c>
      <c r="F51" s="24">
        <f>IFERROR('Data Sheet'!E59,0)</f>
        <v>25.8</v>
      </c>
      <c r="G51" s="24">
        <f>IFERROR('Data Sheet'!F59,0)</f>
        <v>29.49</v>
      </c>
      <c r="H51" s="24">
        <f>IFERROR('Data Sheet'!G59,0)</f>
        <v>44.98</v>
      </c>
      <c r="I51" s="24">
        <f>IFERROR('Data Sheet'!H59,0)</f>
        <v>54.56</v>
      </c>
      <c r="J51" s="24">
        <f>IFERROR('Data Sheet'!I59,0)</f>
        <v>572.45000000000005</v>
      </c>
      <c r="K51" s="24">
        <f>IFERROR('Data Sheet'!J59,0)</f>
        <v>377.65</v>
      </c>
      <c r="L51" s="24">
        <f>IFERROR('Data Sheet'!K59,0)</f>
        <v>27.89</v>
      </c>
      <c r="M51" s="24"/>
    </row>
    <row r="52" spans="2:13" x14ac:dyDescent="0.3">
      <c r="B52" s="6" t="s">
        <v>57</v>
      </c>
      <c r="C52" s="24">
        <f>IFERROR('Data Sheet'!B60,0)</f>
        <v>270.41000000000003</v>
      </c>
      <c r="D52" s="24">
        <f>IFERROR('Data Sheet'!C60,0)</f>
        <v>261.51</v>
      </c>
      <c r="E52" s="24">
        <f>IFERROR('Data Sheet'!D60,0)</f>
        <v>294.27</v>
      </c>
      <c r="F52" s="24">
        <f>IFERROR('Data Sheet'!E60,0)</f>
        <v>286.02</v>
      </c>
      <c r="G52" s="24">
        <f>IFERROR('Data Sheet'!F60,0)</f>
        <v>349</v>
      </c>
      <c r="H52" s="24">
        <f>IFERROR('Data Sheet'!G60,0)</f>
        <v>376.46</v>
      </c>
      <c r="I52" s="24">
        <f>IFERROR('Data Sheet'!H60,0)</f>
        <v>412.28</v>
      </c>
      <c r="J52" s="24">
        <f>IFERROR('Data Sheet'!I60,0)</f>
        <v>494.55</v>
      </c>
      <c r="K52" s="24">
        <f>IFERROR('Data Sheet'!J60,0)</f>
        <v>687.27</v>
      </c>
      <c r="L52" s="24">
        <f>IFERROR('Data Sheet'!K60,0)</f>
        <v>804.15</v>
      </c>
      <c r="M52" s="24"/>
    </row>
    <row r="53" spans="2:13" x14ac:dyDescent="0.3">
      <c r="B53" s="40" t="s">
        <v>90</v>
      </c>
      <c r="C53" s="41">
        <f t="shared" ref="C53:L53" si="18">IFERROR(SUM(C49:C52),0)</f>
        <v>1647.66</v>
      </c>
      <c r="D53" s="41">
        <f t="shared" si="18"/>
        <v>1674.04</v>
      </c>
      <c r="E53" s="41">
        <f t="shared" si="18"/>
        <v>1765.11</v>
      </c>
      <c r="F53" s="41">
        <f t="shared" si="18"/>
        <v>1791.9499999999998</v>
      </c>
      <c r="G53" s="41">
        <f t="shared" si="18"/>
        <v>1813.98</v>
      </c>
      <c r="H53" s="41">
        <f t="shared" si="18"/>
        <v>2231.17</v>
      </c>
      <c r="I53" s="41">
        <f t="shared" si="18"/>
        <v>2600.9700000000003</v>
      </c>
      <c r="J53" s="41">
        <f t="shared" si="18"/>
        <v>3547.3600000000006</v>
      </c>
      <c r="K53" s="41">
        <f t="shared" si="18"/>
        <v>3988.25</v>
      </c>
      <c r="L53" s="41">
        <f t="shared" si="18"/>
        <v>4265.3599999999997</v>
      </c>
      <c r="M53" s="24"/>
    </row>
    <row r="54" spans="2:13" x14ac:dyDescent="0.3">
      <c r="B54" s="1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</row>
    <row r="55" spans="2:13" x14ac:dyDescent="0.3">
      <c r="B55" s="6" t="s">
        <v>125</v>
      </c>
      <c r="C55" s="24">
        <f>IFERROR('Data Sheet'!B62,0)</f>
        <v>440.22</v>
      </c>
      <c r="D55" s="24">
        <f>IFERROR('Data Sheet'!C62,0)</f>
        <v>679.44</v>
      </c>
      <c r="E55" s="24">
        <f>IFERROR('Data Sheet'!D62,0)</f>
        <v>639.5</v>
      </c>
      <c r="F55" s="24">
        <f>IFERROR('Data Sheet'!E62,0)</f>
        <v>620.92999999999995</v>
      </c>
      <c r="G55" s="24">
        <f>IFERROR('Data Sheet'!F62,0)</f>
        <v>651.26</v>
      </c>
      <c r="H55" s="24">
        <f>IFERROR('Data Sheet'!G62,0)</f>
        <v>633.65</v>
      </c>
      <c r="I55" s="24">
        <f>IFERROR('Data Sheet'!H62,0)</f>
        <v>1276.99</v>
      </c>
      <c r="J55" s="24">
        <f>IFERROR('Data Sheet'!I62,0)</f>
        <v>1901.01</v>
      </c>
      <c r="K55" s="24">
        <f>IFERROR('Data Sheet'!J62,0)</f>
        <v>2004.4</v>
      </c>
      <c r="L55" s="24">
        <f>IFERROR('Data Sheet'!K62,0)</f>
        <v>1968.19</v>
      </c>
      <c r="M55" s="24"/>
    </row>
    <row r="56" spans="2:13" x14ac:dyDescent="0.3">
      <c r="B56" s="6" t="s">
        <v>28</v>
      </c>
      <c r="C56" s="24">
        <f>IFERROR('Data Sheet'!B63,0)</f>
        <v>134.88999999999999</v>
      </c>
      <c r="D56" s="24">
        <f>IFERROR('Data Sheet'!C63,0)</f>
        <v>3.76</v>
      </c>
      <c r="E56" s="24">
        <f>IFERROR('Data Sheet'!D63,0)</f>
        <v>17.399999999999999</v>
      </c>
      <c r="F56" s="24">
        <f>IFERROR('Data Sheet'!E63,0)</f>
        <v>15.09</v>
      </c>
      <c r="G56" s="24">
        <f>IFERROR('Data Sheet'!F63,0)</f>
        <v>16.170000000000002</v>
      </c>
      <c r="H56" s="24">
        <f>IFERROR('Data Sheet'!G63,0)</f>
        <v>25.57</v>
      </c>
      <c r="I56" s="24">
        <f>IFERROR('Data Sheet'!H63,0)</f>
        <v>18.68</v>
      </c>
      <c r="J56" s="24">
        <f>IFERROR('Data Sheet'!I63,0)</f>
        <v>55.15</v>
      </c>
      <c r="K56" s="24">
        <f>IFERROR('Data Sheet'!J63,0)</f>
        <v>76.400000000000006</v>
      </c>
      <c r="L56" s="24">
        <f>IFERROR('Data Sheet'!K63,0)</f>
        <v>63.05</v>
      </c>
      <c r="M56" s="24"/>
    </row>
    <row r="57" spans="2:13" x14ac:dyDescent="0.3">
      <c r="B57" s="6" t="s">
        <v>29</v>
      </c>
      <c r="C57" s="24">
        <f>IFERROR('Data Sheet'!B64,0)</f>
        <v>478.7</v>
      </c>
      <c r="D57" s="24">
        <f>IFERROR('Data Sheet'!C64,0)</f>
        <v>410.8</v>
      </c>
      <c r="E57" s="24">
        <f>IFERROR('Data Sheet'!D64,0)</f>
        <v>433.72</v>
      </c>
      <c r="F57" s="24">
        <f>IFERROR('Data Sheet'!E64,0)</f>
        <v>456.53</v>
      </c>
      <c r="G57" s="24">
        <f>IFERROR('Data Sheet'!F64,0)</f>
        <v>403.27</v>
      </c>
      <c r="H57" s="24">
        <f>IFERROR('Data Sheet'!G64,0)</f>
        <v>677.88</v>
      </c>
      <c r="I57" s="24">
        <f>IFERROR('Data Sheet'!H64,0)</f>
        <v>12.72</v>
      </c>
      <c r="J57" s="24">
        <f>IFERROR('Data Sheet'!I64,0)</f>
        <v>205.97</v>
      </c>
      <c r="K57" s="24">
        <f>IFERROR('Data Sheet'!J64,0)</f>
        <v>388.36</v>
      </c>
      <c r="L57" s="24">
        <f>IFERROR('Data Sheet'!K64,0)</f>
        <v>345.09</v>
      </c>
      <c r="M57" s="24"/>
    </row>
    <row r="58" spans="2:13" x14ac:dyDescent="0.3">
      <c r="B58" s="6" t="s">
        <v>58</v>
      </c>
      <c r="C58" s="24">
        <f>IFERROR('Data Sheet'!B65-SUM('Data Sheet'!B67:B69),0)</f>
        <v>120.33000000000004</v>
      </c>
      <c r="D58" s="24">
        <f>IFERROR('Data Sheet'!C65-SUM('Data Sheet'!C67:C69),0)</f>
        <v>100.50999999999999</v>
      </c>
      <c r="E58" s="24">
        <f>IFERROR('Data Sheet'!D65-SUM('Data Sheet'!D67:D69),0)</f>
        <v>130.11000000000001</v>
      </c>
      <c r="F58" s="24">
        <f>IFERROR('Data Sheet'!E65-SUM('Data Sheet'!E67:E69),0)</f>
        <v>110.62</v>
      </c>
      <c r="G58" s="24">
        <f>IFERROR('Data Sheet'!F65-SUM('Data Sheet'!F67:F69),0)</f>
        <v>92.229999999999905</v>
      </c>
      <c r="H58" s="24">
        <f>IFERROR('Data Sheet'!G65-SUM('Data Sheet'!G67:G69),0)</f>
        <v>126.75</v>
      </c>
      <c r="I58" s="24">
        <f>IFERROR('Data Sheet'!H65-SUM('Data Sheet'!H67:H69),0)</f>
        <v>268.39999999999986</v>
      </c>
      <c r="J58" s="24">
        <f>IFERROR('Data Sheet'!I65-SUM('Data Sheet'!I67:I69),0)</f>
        <v>300.1400000000001</v>
      </c>
      <c r="K58" s="24">
        <f>IFERROR('Data Sheet'!J65-SUM('Data Sheet'!J67:J69),0)</f>
        <v>234.12000000000012</v>
      </c>
      <c r="L58" s="24">
        <f>IFERROR('Data Sheet'!K65-SUM('Data Sheet'!K67:K69),0)</f>
        <v>415.23999999999978</v>
      </c>
      <c r="M58" s="24"/>
    </row>
    <row r="59" spans="2:13" x14ac:dyDescent="0.3">
      <c r="B59" s="40" t="s">
        <v>92</v>
      </c>
      <c r="C59" s="41">
        <f t="shared" ref="C59:L59" si="19">IFERROR(SUM(C55:C58),0)</f>
        <v>1174.1399999999999</v>
      </c>
      <c r="D59" s="41">
        <f t="shared" si="19"/>
        <v>1194.51</v>
      </c>
      <c r="E59" s="41">
        <f t="shared" si="19"/>
        <v>1220.73</v>
      </c>
      <c r="F59" s="41">
        <f t="shared" si="19"/>
        <v>1203.17</v>
      </c>
      <c r="G59" s="41">
        <f t="shared" si="19"/>
        <v>1162.9299999999998</v>
      </c>
      <c r="H59" s="41">
        <f t="shared" si="19"/>
        <v>1463.85</v>
      </c>
      <c r="I59" s="41">
        <f t="shared" si="19"/>
        <v>1576.79</v>
      </c>
      <c r="J59" s="41">
        <f t="shared" si="19"/>
        <v>2462.2700000000004</v>
      </c>
      <c r="K59" s="41">
        <f t="shared" si="19"/>
        <v>2703.2800000000007</v>
      </c>
      <c r="L59" s="41">
        <f t="shared" si="19"/>
        <v>2791.5699999999997</v>
      </c>
      <c r="M59" s="24"/>
    </row>
    <row r="60" spans="2:13" x14ac:dyDescent="0.3">
      <c r="B60" s="1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spans="2:13" x14ac:dyDescent="0.3">
      <c r="B61" s="6" t="s">
        <v>63</v>
      </c>
      <c r="C61" s="24">
        <f>IFERROR('Data Sheet'!B67,0)</f>
        <v>272.64</v>
      </c>
      <c r="D61" s="24">
        <f>IFERROR('Data Sheet'!C67,0)</f>
        <v>265.97000000000003</v>
      </c>
      <c r="E61" s="24">
        <f>IFERROR('Data Sheet'!D67,0)</f>
        <v>300.73</v>
      </c>
      <c r="F61" s="24">
        <f>IFERROR('Data Sheet'!E67,0)</f>
        <v>308.22000000000003</v>
      </c>
      <c r="G61" s="24">
        <f>IFERROR('Data Sheet'!F67,0)</f>
        <v>345.43</v>
      </c>
      <c r="H61" s="24">
        <f>IFERROR('Data Sheet'!G67,0)</f>
        <v>389.02</v>
      </c>
      <c r="I61" s="24">
        <f>IFERROR('Data Sheet'!H67,0)</f>
        <v>555.69000000000005</v>
      </c>
      <c r="J61" s="24">
        <f>IFERROR('Data Sheet'!I67,0)</f>
        <v>575.79999999999995</v>
      </c>
      <c r="K61" s="24">
        <f>IFERROR('Data Sheet'!J67,0)</f>
        <v>686.92</v>
      </c>
      <c r="L61" s="24">
        <f>IFERROR('Data Sheet'!K67,0)</f>
        <v>815.38</v>
      </c>
      <c r="M61" s="24"/>
    </row>
    <row r="62" spans="2:13" x14ac:dyDescent="0.3">
      <c r="B62" s="6" t="s">
        <v>43</v>
      </c>
      <c r="C62" s="24">
        <f>IFERROR('Data Sheet'!B68,0)</f>
        <v>187.98</v>
      </c>
      <c r="D62" s="24">
        <f>IFERROR('Data Sheet'!C68,0)</f>
        <v>200.17</v>
      </c>
      <c r="E62" s="24">
        <f>IFERROR('Data Sheet'!D68,0)</f>
        <v>213.73</v>
      </c>
      <c r="F62" s="24">
        <f>IFERROR('Data Sheet'!E68,0)</f>
        <v>243.76</v>
      </c>
      <c r="G62" s="24">
        <f>IFERROR('Data Sheet'!F68,0)</f>
        <v>274.67</v>
      </c>
      <c r="H62" s="24">
        <f>IFERROR('Data Sheet'!G68,0)</f>
        <v>347.45</v>
      </c>
      <c r="I62" s="24">
        <f>IFERROR('Data Sheet'!H68,0)</f>
        <v>409.96</v>
      </c>
      <c r="J62" s="24">
        <f>IFERROR('Data Sheet'!I68,0)</f>
        <v>430.48</v>
      </c>
      <c r="K62" s="24">
        <f>IFERROR('Data Sheet'!J68,0)</f>
        <v>502.51</v>
      </c>
      <c r="L62" s="24">
        <f>IFERROR('Data Sheet'!K68,0)</f>
        <v>528.96</v>
      </c>
      <c r="M62" s="24"/>
    </row>
    <row r="63" spans="2:13" x14ac:dyDescent="0.3">
      <c r="B63" s="4" t="s">
        <v>72</v>
      </c>
      <c r="C63" s="24">
        <f>IFERROR('Data Sheet'!B69,0)</f>
        <v>12.9</v>
      </c>
      <c r="D63" s="24">
        <f>IFERROR('Data Sheet'!C69,0)</f>
        <v>13.39</v>
      </c>
      <c r="E63" s="24">
        <f>IFERROR('Data Sheet'!D69,0)</f>
        <v>29.92</v>
      </c>
      <c r="F63" s="24">
        <f>IFERROR('Data Sheet'!E69,0)</f>
        <v>36.799999999999997</v>
      </c>
      <c r="G63" s="24">
        <f>IFERROR('Data Sheet'!F69,0)</f>
        <v>30.95</v>
      </c>
      <c r="H63" s="24">
        <f>IFERROR('Data Sheet'!G69,0)</f>
        <v>30.85</v>
      </c>
      <c r="I63" s="24">
        <f>IFERROR('Data Sheet'!H69,0)</f>
        <v>58.53</v>
      </c>
      <c r="J63" s="24">
        <f>IFERROR('Data Sheet'!I69,0)</f>
        <v>78.81</v>
      </c>
      <c r="K63" s="24">
        <f>IFERROR('Data Sheet'!J69,0)</f>
        <v>95.54</v>
      </c>
      <c r="L63" s="24">
        <f>IFERROR('Data Sheet'!K69,0)</f>
        <v>129.44999999999999</v>
      </c>
      <c r="M63" s="24"/>
    </row>
    <row r="64" spans="2:13" x14ac:dyDescent="0.3">
      <c r="B64" s="40" t="s">
        <v>93</v>
      </c>
      <c r="C64" s="41">
        <f t="shared" ref="C64:L64" si="20">IFERROR(SUM(C61:C63),0)</f>
        <v>473.52</v>
      </c>
      <c r="D64" s="41">
        <f t="shared" si="20"/>
        <v>479.53</v>
      </c>
      <c r="E64" s="41">
        <f t="shared" si="20"/>
        <v>544.38</v>
      </c>
      <c r="F64" s="41">
        <f t="shared" si="20"/>
        <v>588.78</v>
      </c>
      <c r="G64" s="41">
        <f t="shared" si="20"/>
        <v>651.05000000000007</v>
      </c>
      <c r="H64" s="41">
        <f t="shared" si="20"/>
        <v>767.32</v>
      </c>
      <c r="I64" s="41">
        <f t="shared" si="20"/>
        <v>1024.18</v>
      </c>
      <c r="J64" s="41">
        <f t="shared" si="20"/>
        <v>1085.0899999999999</v>
      </c>
      <c r="K64" s="41">
        <f t="shared" si="20"/>
        <v>1284.9699999999998</v>
      </c>
      <c r="L64" s="41">
        <f t="shared" si="20"/>
        <v>1473.7900000000002</v>
      </c>
      <c r="M64" s="24"/>
    </row>
    <row r="65" spans="1:13" x14ac:dyDescent="0.3">
      <c r="B65" s="17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</row>
    <row r="66" spans="1:13" x14ac:dyDescent="0.3">
      <c r="B66" s="40" t="s">
        <v>91</v>
      </c>
      <c r="C66" s="41">
        <f t="shared" ref="C66:L66" si="21">IFERROR(SUM(C64,C59),0)</f>
        <v>1647.6599999999999</v>
      </c>
      <c r="D66" s="41">
        <f t="shared" si="21"/>
        <v>1674.04</v>
      </c>
      <c r="E66" s="41">
        <f t="shared" si="21"/>
        <v>1765.1100000000001</v>
      </c>
      <c r="F66" s="41">
        <f t="shared" si="21"/>
        <v>1791.95</v>
      </c>
      <c r="G66" s="41">
        <f t="shared" si="21"/>
        <v>1813.98</v>
      </c>
      <c r="H66" s="41">
        <f t="shared" si="21"/>
        <v>2231.17</v>
      </c>
      <c r="I66" s="41">
        <f t="shared" si="21"/>
        <v>2600.9700000000003</v>
      </c>
      <c r="J66" s="41">
        <f t="shared" si="21"/>
        <v>3547.3600000000006</v>
      </c>
      <c r="K66" s="41">
        <f t="shared" si="21"/>
        <v>3988.2500000000005</v>
      </c>
      <c r="L66" s="41">
        <f t="shared" si="21"/>
        <v>4265.3599999999997</v>
      </c>
      <c r="M66" s="22"/>
    </row>
    <row r="67" spans="1:13" x14ac:dyDescent="0.3">
      <c r="B67" s="17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 spans="1:13" x14ac:dyDescent="0.3">
      <c r="B68" s="38" t="s">
        <v>126</v>
      </c>
      <c r="C68" s="25" t="b">
        <f t="shared" ref="C68:L68" si="22">C66=C53</f>
        <v>1</v>
      </c>
      <c r="D68" s="25" t="b">
        <f t="shared" si="22"/>
        <v>1</v>
      </c>
      <c r="E68" s="25" t="b">
        <f t="shared" si="22"/>
        <v>1</v>
      </c>
      <c r="F68" s="25" t="b">
        <f t="shared" si="22"/>
        <v>1</v>
      </c>
      <c r="G68" s="25" t="b">
        <f t="shared" si="22"/>
        <v>1</v>
      </c>
      <c r="H68" s="25" t="b">
        <f t="shared" si="22"/>
        <v>1</v>
      </c>
      <c r="I68" s="25" t="b">
        <f t="shared" si="22"/>
        <v>1</v>
      </c>
      <c r="J68" s="25" t="b">
        <f t="shared" si="22"/>
        <v>1</v>
      </c>
      <c r="K68" s="25" t="b">
        <f t="shared" si="22"/>
        <v>1</v>
      </c>
      <c r="L68" s="25" t="b">
        <f t="shared" si="22"/>
        <v>1</v>
      </c>
      <c r="M68" s="22"/>
    </row>
    <row r="69" spans="1:13" x14ac:dyDescent="0.3">
      <c r="B69" s="17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 spans="1:13" x14ac:dyDescent="0.3">
      <c r="A70" t="s">
        <v>78</v>
      </c>
      <c r="B70" s="33" t="s">
        <v>94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</row>
    <row r="71" spans="1:13" x14ac:dyDescent="0.3">
      <c r="B71" s="2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 spans="1:13" x14ac:dyDescent="0.3">
      <c r="B72" t="s">
        <v>31</v>
      </c>
      <c r="C72" s="69">
        <f>IFERROR('Cash Flow Statement'!E3,0)</f>
        <v>140</v>
      </c>
      <c r="D72" s="69">
        <f>IFERROR('Cash Flow Statement'!F3,0)</f>
        <v>201</v>
      </c>
      <c r="E72" s="69">
        <f>IFERROR('Cash Flow Statement'!G3,0)</f>
        <v>123</v>
      </c>
      <c r="F72" s="69">
        <f>IFERROR('Cash Flow Statement'!H3,0)</f>
        <v>194</v>
      </c>
      <c r="G72" s="69">
        <f>IFERROR('Cash Flow Statement'!I3,0)</f>
        <v>276</v>
      </c>
      <c r="H72" s="69">
        <f>IFERROR('Cash Flow Statement'!J3,0)</f>
        <v>315</v>
      </c>
      <c r="I72" s="69">
        <f>IFERROR('Cash Flow Statement'!K3,0)</f>
        <v>170</v>
      </c>
      <c r="J72" s="69">
        <f>IFERROR('Cash Flow Statement'!L3,0)</f>
        <v>626</v>
      </c>
      <c r="K72" s="69">
        <f>IFERROR('Cash Flow Statement'!M3,0)</f>
        <v>801</v>
      </c>
      <c r="L72" s="69">
        <f>IFERROR('Cash Flow Statement'!N3,0)</f>
        <v>902</v>
      </c>
      <c r="M72" s="24"/>
    </row>
    <row r="73" spans="1:13" x14ac:dyDescent="0.3">
      <c r="B73" s="6"/>
      <c r="M73" s="22"/>
    </row>
    <row r="74" spans="1:13" x14ac:dyDescent="0.3">
      <c r="B74" t="s">
        <v>32</v>
      </c>
      <c r="C74" s="69">
        <f>IFERROR('Cash Flow Statement'!E11,0)</f>
        <v>-26</v>
      </c>
      <c r="D74" s="69">
        <f>IFERROR('Cash Flow Statement'!F11,0)</f>
        <v>-45</v>
      </c>
      <c r="E74" s="69">
        <f>IFERROR('Cash Flow Statement'!G11,0)</f>
        <v>-21</v>
      </c>
      <c r="F74" s="69">
        <f>IFERROR('Cash Flow Statement'!H11,0)</f>
        <v>-28</v>
      </c>
      <c r="G74" s="69">
        <f>IFERROR('Cash Flow Statement'!I11,0)</f>
        <v>24</v>
      </c>
      <c r="H74" s="69">
        <f>IFERROR('Cash Flow Statement'!J11,0)</f>
        <v>-231</v>
      </c>
      <c r="I74" s="69">
        <f>IFERROR('Cash Flow Statement'!K11,0)</f>
        <v>2</v>
      </c>
      <c r="J74" s="69">
        <f>IFERROR('Cash Flow Statement'!L11,0)</f>
        <v>-962</v>
      </c>
      <c r="K74" s="69">
        <f>IFERROR('Cash Flow Statement'!M11,0)</f>
        <v>-404</v>
      </c>
      <c r="L74" s="69">
        <f>IFERROR('Cash Flow Statement'!N11,0)</f>
        <v>-296</v>
      </c>
      <c r="M74" s="22"/>
    </row>
    <row r="75" spans="1:13" x14ac:dyDescent="0.3">
      <c r="B75" s="6"/>
      <c r="M75" s="22"/>
    </row>
    <row r="76" spans="1:13" x14ac:dyDescent="0.3">
      <c r="B76" t="s">
        <v>33</v>
      </c>
      <c r="C76" s="69">
        <f>IFERROR('Cash Flow Statement'!E20,0)</f>
        <v>-100</v>
      </c>
      <c r="D76" s="69">
        <f>IFERROR('Cash Flow Statement'!F20,0)</f>
        <v>-184</v>
      </c>
      <c r="E76" s="69">
        <f>IFERROR('Cash Flow Statement'!G20,0)</f>
        <v>-60</v>
      </c>
      <c r="F76" s="69">
        <f>IFERROR('Cash Flow Statement'!H20,0)</f>
        <v>-156</v>
      </c>
      <c r="G76" s="69">
        <f>IFERROR('Cash Flow Statement'!I20,0)</f>
        <v>-306</v>
      </c>
      <c r="H76" s="69">
        <f>IFERROR('Cash Flow Statement'!J20,0)</f>
        <v>-87</v>
      </c>
      <c r="I76" s="69">
        <f>IFERROR('Cash Flow Statement'!K20,0)</f>
        <v>-138</v>
      </c>
      <c r="J76" s="69">
        <f>IFERROR('Cash Flow Statement'!L20,0)</f>
        <v>357</v>
      </c>
      <c r="K76" s="69">
        <f>IFERROR('Cash Flow Statement'!M20,0)</f>
        <v>-385</v>
      </c>
      <c r="L76" s="69">
        <f>IFERROR('Cash Flow Statement'!N20,0)</f>
        <v>-580</v>
      </c>
      <c r="M76" s="22"/>
    </row>
    <row r="77" spans="1:13" x14ac:dyDescent="0.3">
      <c r="B77" s="6"/>
      <c r="M77" s="22"/>
    </row>
    <row r="78" spans="1:13" x14ac:dyDescent="0.3">
      <c r="B78" s="2" t="s">
        <v>34</v>
      </c>
      <c r="C78" s="70">
        <f>IFERROR(SUM(C76,C74,C72),0)</f>
        <v>14</v>
      </c>
      <c r="D78" s="70">
        <f t="shared" ref="D78:L78" si="23">IFERROR(SUM(D76,D74,D72),0)</f>
        <v>-28</v>
      </c>
      <c r="E78" s="70">
        <f t="shared" si="23"/>
        <v>42</v>
      </c>
      <c r="F78" s="70">
        <f t="shared" si="23"/>
        <v>10</v>
      </c>
      <c r="G78" s="70">
        <f t="shared" si="23"/>
        <v>-6</v>
      </c>
      <c r="H78" s="70">
        <f t="shared" si="23"/>
        <v>-3</v>
      </c>
      <c r="I78" s="70">
        <f t="shared" si="23"/>
        <v>34</v>
      </c>
      <c r="J78" s="70">
        <f t="shared" si="23"/>
        <v>21</v>
      </c>
      <c r="K78" s="70">
        <f t="shared" si="23"/>
        <v>12</v>
      </c>
      <c r="L78" s="70">
        <f t="shared" si="23"/>
        <v>26</v>
      </c>
      <c r="M78" s="22"/>
    </row>
    <row r="79" spans="1:13" x14ac:dyDescent="0.3">
      <c r="B79" s="29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22"/>
    </row>
    <row r="80" spans="1:13" x14ac:dyDescent="0.3">
      <c r="B80" s="17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 spans="2:13" x14ac:dyDescent="0.3">
      <c r="B81" s="2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 spans="2:13" x14ac:dyDescent="0.3"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2"/>
    </row>
    <row r="83" spans="2:13" x14ac:dyDescent="0.3"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2"/>
    </row>
    <row r="84" spans="2:13" x14ac:dyDescent="0.3"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2"/>
    </row>
    <row r="85" spans="2:13" x14ac:dyDescent="0.3"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2"/>
    </row>
    <row r="86" spans="2:13" x14ac:dyDescent="0.3"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2"/>
    </row>
    <row r="87" spans="2:13" x14ac:dyDescent="0.3"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2"/>
    </row>
    <row r="88" spans="2:13" x14ac:dyDescent="0.3"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2"/>
    </row>
    <row r="89" spans="2:13" x14ac:dyDescent="0.3"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2"/>
    </row>
    <row r="90" spans="2:13" x14ac:dyDescent="0.3">
      <c r="B90" s="29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22"/>
    </row>
    <row r="91" spans="2:13" x14ac:dyDescent="0.3">
      <c r="B91" s="17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</row>
    <row r="92" spans="2:13" x14ac:dyDescent="0.3">
      <c r="B92" s="2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 spans="2:13" x14ac:dyDescent="0.3">
      <c r="C93" s="24"/>
      <c r="D93" s="24"/>
      <c r="E93" s="24"/>
      <c r="F93" s="24"/>
      <c r="G93" s="24"/>
      <c r="H93" s="24"/>
      <c r="I93" s="24"/>
      <c r="J93" s="24"/>
      <c r="K93" s="24"/>
      <c r="L93" s="24"/>
    </row>
    <row r="94" spans="2:13" x14ac:dyDescent="0.3">
      <c r="C94" s="24"/>
      <c r="D94" s="24"/>
      <c r="E94" s="24"/>
      <c r="F94" s="24"/>
      <c r="G94" s="24"/>
      <c r="H94" s="24"/>
      <c r="I94" s="24"/>
      <c r="J94" s="24"/>
      <c r="K94" s="24"/>
      <c r="L94" s="24"/>
    </row>
    <row r="95" spans="2:13" x14ac:dyDescent="0.3"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2"/>
    </row>
    <row r="96" spans="2:13" x14ac:dyDescent="0.3"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2"/>
    </row>
    <row r="97" spans="2:13" x14ac:dyDescent="0.3"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2"/>
    </row>
    <row r="98" spans="2:13" x14ac:dyDescent="0.3"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2"/>
    </row>
    <row r="99" spans="2:13" x14ac:dyDescent="0.3"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2"/>
    </row>
    <row r="100" spans="2:13" x14ac:dyDescent="0.3"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2"/>
    </row>
    <row r="101" spans="2:13" x14ac:dyDescent="0.3">
      <c r="B101" s="29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22"/>
    </row>
    <row r="102" spans="2:13" x14ac:dyDescent="0.3">
      <c r="B102" s="17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</row>
    <row r="103" spans="2:13" x14ac:dyDescent="0.3">
      <c r="B103" s="29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22"/>
    </row>
  </sheetData>
  <mergeCells count="1">
    <mergeCell ref="B2:M2"/>
  </mergeCells>
  <pageMargins left="0.25" right="0.25" top="0.75" bottom="0.75" header="0.3" footer="0.3"/>
  <pageSetup scale="66" orientation="landscape" r:id="rId1"/>
  <rowBreaks count="1" manualBreakCount="1">
    <brk id="46" max="16383" man="1"/>
  </rowBreaks>
  <ignoredErrors>
    <ignoredError sqref="C15:L15 M6 M9 M18 M23 M26 M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4E16-F24E-4391-BC0E-6F849DF74B1E}">
  <sheetPr>
    <tabColor rgb="FF002060"/>
  </sheetPr>
  <dimension ref="B2:O41"/>
  <sheetViews>
    <sheetView showGridLines="0" tabSelected="1" workbookViewId="0">
      <selection activeCell="C3" sqref="C3"/>
    </sheetView>
  </sheetViews>
  <sheetFormatPr defaultRowHeight="14.4" x14ac:dyDescent="0.3"/>
  <cols>
    <col min="1" max="1" width="1.88671875" customWidth="1"/>
    <col min="2" max="2" width="28.5546875" customWidth="1"/>
    <col min="3" max="3" width="11.109375" customWidth="1"/>
    <col min="5" max="5" width="9.6640625" bestFit="1" customWidth="1"/>
    <col min="7" max="8" width="8.6640625" customWidth="1"/>
    <col min="9" max="9" width="8" bestFit="1" customWidth="1"/>
    <col min="10" max="10" width="8.33203125" customWidth="1"/>
    <col min="13" max="13" width="11" customWidth="1"/>
  </cols>
  <sheetData>
    <row r="2" spans="2:15" x14ac:dyDescent="0.3">
      <c r="B2" s="91" t="str">
        <f>"Ratio Analysis - "&amp; 'Data Sheet'!B1</f>
        <v>Ratio Analysis - J B CHEMICALS &amp; PHARMACEUTICALS LTD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</row>
    <row r="3" spans="2:15" x14ac:dyDescent="0.3">
      <c r="B3" s="52" t="s">
        <v>75</v>
      </c>
      <c r="C3" s="53">
        <f>'Historicals&gt;'!C3</f>
        <v>42460</v>
      </c>
      <c r="D3" s="53">
        <f>'Historicals&gt;'!D3</f>
        <v>42825</v>
      </c>
      <c r="E3" s="53">
        <f>'Historicals&gt;'!E3</f>
        <v>43190</v>
      </c>
      <c r="F3" s="53">
        <f>'Historicals&gt;'!F3</f>
        <v>43555</v>
      </c>
      <c r="G3" s="53">
        <f>'Historicals&gt;'!G3</f>
        <v>43921</v>
      </c>
      <c r="H3" s="53">
        <f>'Historicals&gt;'!H3</f>
        <v>44286</v>
      </c>
      <c r="I3" s="53">
        <f>'Historicals&gt;'!I3</f>
        <v>44651</v>
      </c>
      <c r="J3" s="53">
        <f>'Historicals&gt;'!J3</f>
        <v>45016</v>
      </c>
      <c r="K3" s="53">
        <f>'Historicals&gt;'!K3</f>
        <v>45382</v>
      </c>
      <c r="L3" s="53">
        <f>'Historicals&gt;'!L3</f>
        <v>45747</v>
      </c>
      <c r="M3" s="52" t="s">
        <v>134</v>
      </c>
      <c r="N3" s="53" t="s">
        <v>135</v>
      </c>
      <c r="O3" s="53" t="s">
        <v>136</v>
      </c>
    </row>
    <row r="4" spans="2:15" x14ac:dyDescent="0.3">
      <c r="M4" s="54"/>
    </row>
    <row r="5" spans="2:15" x14ac:dyDescent="0.3">
      <c r="B5" s="55" t="s">
        <v>22</v>
      </c>
      <c r="C5" s="56"/>
      <c r="D5" s="56">
        <f>IFERROR('Historicals&gt;'!D7,0)</f>
        <v>0.11065302885092043</v>
      </c>
      <c r="E5" s="56">
        <f>IFERROR('Historicals&gt;'!E7,0)</f>
        <v>4.7675724732014757E-2</v>
      </c>
      <c r="F5" s="56">
        <f>IFERROR('Historicals&gt;'!F7,0)</f>
        <v>0.16673056987460755</v>
      </c>
      <c r="G5" s="56">
        <f>IFERROR('Historicals&gt;'!G7,0)</f>
        <v>8.0045034079844202E-2</v>
      </c>
      <c r="H5" s="56">
        <f>IFERROR('Historicals&gt;'!H7,0)</f>
        <v>0.15089055800037188</v>
      </c>
      <c r="I5" s="56">
        <f>IFERROR('Historicals&gt;'!I7,0)</f>
        <v>0.18688678691028726</v>
      </c>
      <c r="J5" s="56">
        <f>IFERROR('Historicals&gt;'!J7,0)</f>
        <v>0.2990792990792992</v>
      </c>
      <c r="K5" s="56">
        <f>IFERROR('Historicals&gt;'!K7,0)</f>
        <v>0.10634176700706188</v>
      </c>
      <c r="L5" s="56">
        <f>IFERROR('Historicals&gt;'!L7,0)</f>
        <v>0.12450849267259434</v>
      </c>
      <c r="M5" s="57"/>
      <c r="N5" s="56">
        <f>IFERROR(AVERAGE(D5:L5),0)</f>
        <v>0.1414234734674446</v>
      </c>
      <c r="O5" s="56">
        <f>IFERROR(MEDIAN(C5:L5),0)</f>
        <v>0.12450849267259434</v>
      </c>
    </row>
    <row r="6" spans="2:15" x14ac:dyDescent="0.3">
      <c r="B6" t="s">
        <v>137</v>
      </c>
      <c r="D6" s="58">
        <f>IFERROR('Historicals&gt;'!D20/'Historicals&gt;'!C20-1,0)</f>
        <v>6.9822037107156287E-2</v>
      </c>
      <c r="E6" s="58">
        <f>IFERROR('Historicals&gt;'!E20/'Historicals&gt;'!D20-1,0)</f>
        <v>-9.9561124088623387E-2</v>
      </c>
      <c r="F6" s="58">
        <f>IFERROR('Historicals&gt;'!F20/'Historicals&gt;'!E20-1,0)</f>
        <v>0.36504068236311338</v>
      </c>
      <c r="G6" s="58">
        <f>IFERROR('Historicals&gt;'!G20/'Historicals&gt;'!F20-1,0)</f>
        <v>0.20433079935498721</v>
      </c>
      <c r="H6" s="58">
        <f>IFERROR('Historicals&gt;'!H20/'Historicals&gt;'!G20-1,0)</f>
        <v>0.60862184391736762</v>
      </c>
      <c r="I6" s="58">
        <f>IFERROR('Historicals&gt;'!I20/'Historicals&gt;'!H20-1,0)</f>
        <v>-0.13393480878134334</v>
      </c>
      <c r="J6" s="58">
        <f>IFERROR('Historicals&gt;'!J20/'Historicals&gt;'!I20-1,0)</f>
        <v>0.21111072973158551</v>
      </c>
      <c r="K6" s="58">
        <f>IFERROR('Historicals&gt;'!K20/'Historicals&gt;'!J20-1,0)</f>
        <v>0.32375405631367804</v>
      </c>
      <c r="L6" s="58">
        <f>IFERROR('Historicals&gt;'!L20/'Historicals&gt;'!K20-1,0)</f>
        <v>0.14558533870000834</v>
      </c>
      <c r="M6" s="54"/>
      <c r="N6" s="58">
        <f t="shared" ref="N6:N9" si="0">IFERROR(AVERAGE(D6:L6),0)</f>
        <v>0.18830772829088108</v>
      </c>
      <c r="O6" s="58">
        <f t="shared" ref="O6:O9" si="1">IFERROR(MEDIAN(C6:L6),0)</f>
        <v>0.20433079935498721</v>
      </c>
    </row>
    <row r="7" spans="2:15" x14ac:dyDescent="0.3">
      <c r="B7" t="s">
        <v>164</v>
      </c>
      <c r="D7" s="58">
        <f>IFERROR('Historicals&gt;'!D29/'Historicals&gt;'!C29-1,0)</f>
        <v>8.3494322197615878E-2</v>
      </c>
      <c r="E7" s="58">
        <f>IFERROR('Historicals&gt;'!E29/'Historicals&gt;'!D29-1,0)</f>
        <v>-0.15655577299412771</v>
      </c>
      <c r="F7" s="58">
        <f>IFERROR('Historicals&gt;'!F29/'Historicals&gt;'!E29-1,0)</f>
        <v>0.47971126579015011</v>
      </c>
      <c r="G7" s="58">
        <f>IFERROR('Historicals&gt;'!G29/'Historicals&gt;'!F29-1,0)</f>
        <v>0.21568695773371904</v>
      </c>
      <c r="H7" s="58">
        <f>IFERROR('Historicals&gt;'!H29/'Historicals&gt;'!G29-1,0)</f>
        <v>0.71079709937229452</v>
      </c>
      <c r="I7" s="58">
        <f>IFERROR('Historicals&gt;'!I29/'Historicals&gt;'!H29-1,0)</f>
        <v>-0.15410132689987943</v>
      </c>
      <c r="J7" s="58">
        <f>IFERROR('Historicals&gt;'!J29/'Historicals&gt;'!I29-1,0)</f>
        <v>9.9683105565459007E-2</v>
      </c>
      <c r="K7" s="58">
        <f>IFERROR('Historicals&gt;'!K29/'Historicals&gt;'!J29-1,0)</f>
        <v>0.3535111575383163</v>
      </c>
      <c r="L7" s="58">
        <f>IFERROR('Historicals&gt;'!L29/'Historicals&gt;'!K29-1,0)</f>
        <v>0.18080930393474448</v>
      </c>
      <c r="M7" s="54"/>
      <c r="N7" s="58">
        <f t="shared" si="0"/>
        <v>0.20144845691536578</v>
      </c>
      <c r="O7" s="58">
        <f t="shared" si="1"/>
        <v>0.18080930393474448</v>
      </c>
    </row>
    <row r="8" spans="2:15" x14ac:dyDescent="0.3">
      <c r="B8" t="s">
        <v>138</v>
      </c>
      <c r="D8" s="58">
        <f>IFERROR('Historicals&gt;'!D35/'Historicals&gt;'!C35-1,0)</f>
        <v>0.13378419920073781</v>
      </c>
      <c r="E8" s="58">
        <f>IFERROR('Historicals&gt;'!E35/'Historicals&gt;'!D35-1,0)</f>
        <v>-0.24776313648934256</v>
      </c>
      <c r="F8" s="58">
        <f>IFERROR('Historicals&gt;'!F35/'Historicals&gt;'!E35-1,0)</f>
        <v>0.39828431372548767</v>
      </c>
      <c r="G8" s="58">
        <f>IFERROR('Historicals&gt;'!G35/'Historicals&gt;'!F35-1,0)</f>
        <v>0.40428932309119947</v>
      </c>
      <c r="H8" s="58">
        <f>IFERROR('Historicals&gt;'!H35/'Historicals&gt;'!G35-1,0)</f>
        <v>0.64660964058886083</v>
      </c>
      <c r="I8" s="58">
        <f>IFERROR('Historicals&gt;'!I35/'Historicals&gt;'!H35-1,0)</f>
        <v>-0.13930259520199773</v>
      </c>
      <c r="J8" s="58">
        <f>IFERROR('Historicals&gt;'!J35/'Historicals&gt;'!I35-1,0)</f>
        <v>6.2066107139157278E-2</v>
      </c>
      <c r="K8" s="58">
        <f>IFERROR('Historicals&gt;'!K35/'Historicals&gt;'!J35-1,0)</f>
        <v>0.34787804878048623</v>
      </c>
      <c r="L8" s="58">
        <f>IFERROR('Historicals&gt;'!L35/'Historicals&gt;'!K35-1,0)</f>
        <v>0.19354721965872268</v>
      </c>
      <c r="M8" s="54"/>
      <c r="N8" s="58">
        <f t="shared" si="0"/>
        <v>0.19993256894370129</v>
      </c>
      <c r="O8" s="58">
        <f t="shared" si="1"/>
        <v>0.19354721965872268</v>
      </c>
    </row>
    <row r="9" spans="2:15" x14ac:dyDescent="0.3">
      <c r="B9" s="59" t="s">
        <v>139</v>
      </c>
      <c r="C9" s="59"/>
      <c r="D9" s="60">
        <f>IFERROR('Historicals&gt;'!D43/'Historicals&gt;'!C43-1,0)</f>
        <v>-0.8</v>
      </c>
      <c r="E9" s="60">
        <f>IFERROR('Historicals&gt;'!E43/'Historicals&gt;'!D43-1,0)</f>
        <v>1</v>
      </c>
      <c r="F9" s="60">
        <f>IFERROR('Historicals&gt;'!F43/'Historicals&gt;'!E43-1,0)</f>
        <v>1.4996884735202491</v>
      </c>
      <c r="G9" s="60">
        <f>IFERROR('Historicals&gt;'!G43/'Historicals&gt;'!F43-1,0)</f>
        <v>1.2002741774675973</v>
      </c>
      <c r="H9" s="60">
        <f>IFERROR('Historicals&gt;'!H43/'Historicals&gt;'!G43-1,0)</f>
        <v>0.49994119722450914</v>
      </c>
      <c r="I9" s="60">
        <f>IFERROR('Historicals&gt;'!I43/'Historicals&gt;'!H43-1,0)</f>
        <v>0</v>
      </c>
      <c r="J9" s="60">
        <f>IFERROR('Historicals&gt;'!J43/'Historicals&gt;'!I43-1,0)</f>
        <v>7.5760596361520438E-2</v>
      </c>
      <c r="K9" s="60">
        <f>IFERROR('Historicals&gt;'!K43/'Historicals&gt;'!J43-1,0)</f>
        <v>0.38033192604454791</v>
      </c>
      <c r="L9" s="60">
        <f>IFERROR('Historicals&gt;'!L43/'Historicals&gt;'!K43-1,0)</f>
        <v>0.26533233717379057</v>
      </c>
      <c r="M9" s="61"/>
      <c r="N9" s="60">
        <f t="shared" si="0"/>
        <v>0.45792541197691272</v>
      </c>
      <c r="O9" s="60">
        <f t="shared" si="1"/>
        <v>0.38033192604454791</v>
      </c>
    </row>
    <row r="10" spans="2:15" x14ac:dyDescent="0.3">
      <c r="M10" s="54"/>
      <c r="O10" s="62"/>
    </row>
    <row r="11" spans="2:15" x14ac:dyDescent="0.3">
      <c r="B11" s="55" t="s">
        <v>81</v>
      </c>
      <c r="C11" s="56">
        <f>IFERROR('Historicals&gt;'!C13,0)</f>
        <v>0.36107439109025413</v>
      </c>
      <c r="D11" s="56">
        <f>IFERROR('Historicals&gt;'!D13,0)</f>
        <v>0.34657700347395276</v>
      </c>
      <c r="E11" s="56">
        <f>IFERROR('Historicals&gt;'!E13,0)</f>
        <v>0.34423238046549953</v>
      </c>
      <c r="F11" s="56">
        <f>IFERROR('Historicals&gt;'!F13,0)</f>
        <v>0.37259615384615385</v>
      </c>
      <c r="G11" s="56">
        <f>IFERROR('Historicals&gt;'!G13,0)</f>
        <v>0.38422745995165469</v>
      </c>
      <c r="H11" s="56">
        <f>IFERROR('Historicals&gt;'!H13,0)</f>
        <v>0.4170289642206686</v>
      </c>
      <c r="I11" s="56">
        <f>IFERROR('Historicals&gt;'!I13,0)</f>
        <v>0.40088440088440086</v>
      </c>
      <c r="J11" s="56">
        <f>IFERROR('Historicals&gt;'!J13,0)</f>
        <v>0.39299458923944519</v>
      </c>
      <c r="K11" s="56">
        <f>IFERROR('Historicals&gt;'!K13,0)</f>
        <v>0.4274664339959473</v>
      </c>
      <c r="L11" s="56">
        <f>IFERROR('Historicals&gt;'!L13,0)</f>
        <v>0.42975862623437006</v>
      </c>
      <c r="M11" s="57"/>
      <c r="N11" s="56">
        <f>IFERROR(AVERAGE(C11:L11),0)</f>
        <v>0.38768404034023463</v>
      </c>
      <c r="O11" s="56">
        <f t="shared" ref="O11:O15" si="2">IFERROR(MEDIAN(C11:L11),0)</f>
        <v>0.38861102459554997</v>
      </c>
    </row>
    <row r="12" spans="2:15" x14ac:dyDescent="0.3">
      <c r="B12" t="s">
        <v>140</v>
      </c>
      <c r="C12" s="58">
        <f>IFERROR('Historicals&gt;'!C21,0)</f>
        <v>0.21819954393734095</v>
      </c>
      <c r="D12" s="58">
        <f>IFERROR('Historicals&gt;'!D21,0)</f>
        <v>0.21017786340744926</v>
      </c>
      <c r="E12" s="58">
        <f>IFERROR('Historicals&gt;'!E21,0)</f>
        <v>0.18064016813644065</v>
      </c>
      <c r="F12" s="58">
        <f>IFERROR('Historicals&gt;'!F21,0)</f>
        <v>0.21134371957156772</v>
      </c>
      <c r="G12" s="58">
        <f>IFERROR('Historicals&gt;'!G21,0)</f>
        <v>0.23566401649828428</v>
      </c>
      <c r="H12" s="58">
        <f>IFERROR('Historicals&gt;'!H21,0)</f>
        <v>0.32939212345533947</v>
      </c>
      <c r="I12" s="58">
        <f>IFERROR('Historicals&gt;'!I21,0)</f>
        <v>0.24035574035574037</v>
      </c>
      <c r="J12" s="58">
        <f>IFERROR('Historicals&gt;'!J21,0)</f>
        <v>0.22407978966620945</v>
      </c>
      <c r="K12" s="58">
        <f>IFERROR('Historicals&gt;'!K21,0)</f>
        <v>0.26811473574844003</v>
      </c>
      <c r="L12" s="58">
        <f>IFERROR('Historicals&gt;'!L21,0)</f>
        <v>0.27314005395623764</v>
      </c>
      <c r="M12" s="54"/>
      <c r="N12" s="58">
        <f t="shared" ref="N12:N31" si="3">IFERROR(AVERAGE(C12:L12),0)</f>
        <v>0.239110775473305</v>
      </c>
      <c r="O12" s="58">
        <f t="shared" si="2"/>
        <v>0.22987190308224686</v>
      </c>
    </row>
    <row r="13" spans="2:15" x14ac:dyDescent="0.3">
      <c r="B13" t="s">
        <v>141</v>
      </c>
      <c r="C13" s="58">
        <f>IFERROR(('Historicals&gt;'!C20-'Historicals&gt;'!C26)/'Historicals&gt;'!C6,0)</f>
        <v>0.18414356059354239</v>
      </c>
      <c r="D13" s="58">
        <f>IFERROR(('Historicals&gt;'!D20-'Historicals&gt;'!D26)/'Historicals&gt;'!D6,0)</f>
        <v>0.17505151418220768</v>
      </c>
      <c r="E13" s="58">
        <f>IFERROR(('Historicals&gt;'!E20-'Historicals&gt;'!E26)/'Historicals&gt;'!E6,0)</f>
        <v>0.1401894375097632</v>
      </c>
      <c r="F13" s="58">
        <f>IFERROR(('Historicals&gt;'!F20-'Historicals&gt;'!F26)/'Historicals&gt;'!F6,0)</f>
        <v>0.17748296007789685</v>
      </c>
      <c r="G13" s="58">
        <f>IFERROR(('Historicals&gt;'!G20-'Historicals&gt;'!G26)/'Historicals&gt;'!G6,0)</f>
        <v>0.19829495190817761</v>
      </c>
      <c r="H13" s="58">
        <f>IFERROR(('Historicals&gt;'!H20-'Historicals&gt;'!H26)/'Historicals&gt;'!H6,0)</f>
        <v>0.29577188962653977</v>
      </c>
      <c r="I13" s="58">
        <f>IFERROR(('Historicals&gt;'!I20-'Historicals&gt;'!I26)/'Historicals&gt;'!I6,0)</f>
        <v>0.2103834603834604</v>
      </c>
      <c r="J13" s="58">
        <f>IFERROR(('Historicals&gt;'!J20-'Historicals&gt;'!J26)/'Historicals&gt;'!J6,0)</f>
        <v>0.18775085098816244</v>
      </c>
      <c r="K13" s="58">
        <f>IFERROR(('Historicals&gt;'!K20-'Historicals&gt;'!K26)/'Historicals&gt;'!K6,0)</f>
        <v>0.22841529427297089</v>
      </c>
      <c r="L13" s="58">
        <f>IFERROR(('Historicals&gt;'!L20-'Historicals&gt;'!L26)/'Historicals&gt;'!L6,0)</f>
        <v>0.22948501655185427</v>
      </c>
      <c r="M13" s="54"/>
      <c r="N13" s="58">
        <f t="shared" si="3"/>
        <v>0.20269689360945753</v>
      </c>
      <c r="O13" s="58">
        <f t="shared" si="2"/>
        <v>0.19302290144817003</v>
      </c>
    </row>
    <row r="14" spans="2:15" x14ac:dyDescent="0.3">
      <c r="B14" t="s">
        <v>142</v>
      </c>
      <c r="C14" s="58">
        <f>IFERROR('Historicals&gt;'!C30,0)</f>
        <v>0.17534452559569053</v>
      </c>
      <c r="D14" s="58">
        <f>IFERROR('Historicals&gt;'!D30,0)</f>
        <v>0.17105684041389876</v>
      </c>
      <c r="E14" s="58">
        <f>IFERROR('Historicals&gt;'!E30,0)</f>
        <v>0.13771141311293847</v>
      </c>
      <c r="F14" s="58">
        <f>IFERROR('Historicals&gt;'!F30,0)</f>
        <v>0.17465311587147034</v>
      </c>
      <c r="G14" s="58">
        <f>IFERROR('Historicals&gt;'!G30,0)</f>
        <v>0.19658764995238717</v>
      </c>
      <c r="H14" s="58">
        <f>IFERROR('Historicals&gt;'!H30,0)</f>
        <v>0.29222724869279126</v>
      </c>
      <c r="I14" s="58">
        <f>IFERROR('Historicals&gt;'!I30,0)</f>
        <v>0.20827145827145829</v>
      </c>
      <c r="J14" s="58">
        <f>IFERROR('Historicals&gt;'!J30,0)</f>
        <v>0.17630379007265159</v>
      </c>
      <c r="K14" s="58">
        <f>IFERROR('Historicals&gt;'!K30,0)</f>
        <v>0.21569207101814478</v>
      </c>
      <c r="L14" s="58">
        <f>IFERROR('Historicals&gt;'!L30,0)</f>
        <v>0.22649113448477395</v>
      </c>
      <c r="M14" s="54"/>
      <c r="N14" s="58">
        <f t="shared" si="3"/>
        <v>0.19743392474862051</v>
      </c>
      <c r="O14" s="58">
        <f t="shared" si="2"/>
        <v>0.18644572001251938</v>
      </c>
    </row>
    <row r="15" spans="2:15" x14ac:dyDescent="0.3">
      <c r="B15" s="59" t="s">
        <v>143</v>
      </c>
      <c r="C15" s="60">
        <f>IFERROR([1]HistoricalFS!C34,0)</f>
        <v>-0.11729791858087842</v>
      </c>
      <c r="D15" s="60">
        <f>IFERROR([1]HistoricalFS!D34,0)</f>
        <v>-7.1677156286577238E-3</v>
      </c>
      <c r="E15" s="60">
        <f>IFERROR([1]HistoricalFS!E34,0)</f>
        <v>-0.14809053709221251</v>
      </c>
      <c r="F15" s="60">
        <f>IFERROR([1]HistoricalFS!F34,0)</f>
        <v>-0.15330145583858124</v>
      </c>
      <c r="G15" s="60">
        <f>IFERROR([1]HistoricalFS!G34,0)</f>
        <v>-3.3075843009956266E-2</v>
      </c>
      <c r="H15" s="60">
        <f>IFERROR([1]HistoricalFS!H34,0)</f>
        <v>-1.0283668533857952E-2</v>
      </c>
      <c r="I15" s="60">
        <f>IFERROR([1]HistoricalFS!I34,0)</f>
        <v>-7.7048893547618505E-3</v>
      </c>
      <c r="J15" s="60">
        <f>IFERROR([1]HistoricalFS!J34,0)</f>
        <v>-3.1399907238516676E-2</v>
      </c>
      <c r="K15" s="60">
        <f>IFERROR([1]HistoricalFS!K34,0)</f>
        <v>1.4056720299305667E-2</v>
      </c>
      <c r="L15" s="60">
        <f>IFERROR([1]HistoricalFS!L34,0)</f>
        <v>2.7521203990821946E-2</v>
      </c>
      <c r="M15" s="61"/>
      <c r="N15" s="60">
        <f t="shared" si="3"/>
        <v>-4.6674401098729487E-2</v>
      </c>
      <c r="O15" s="60">
        <f t="shared" si="2"/>
        <v>-2.0841787886187315E-2</v>
      </c>
    </row>
    <row r="16" spans="2:15" x14ac:dyDescent="0.3">
      <c r="M16" s="54"/>
      <c r="O16" s="62"/>
    </row>
    <row r="17" spans="2:15" x14ac:dyDescent="0.3">
      <c r="B17" s="55" t="s">
        <v>144</v>
      </c>
      <c r="C17" s="63">
        <f>IFERROR('Historicals&gt;'!C10,0)</f>
        <v>0.63892560890974581</v>
      </c>
      <c r="D17" s="63">
        <f>IFERROR('Historicals&gt;'!D10,0)</f>
        <v>0.65342299652604718</v>
      </c>
      <c r="E17" s="63">
        <f>IFERROR('Historicals&gt;'!E10,0)</f>
        <v>0.65576761953450047</v>
      </c>
      <c r="F17" s="63">
        <f>IFERROR('Historicals&gt;'!F10,0)</f>
        <v>0.62740384615384615</v>
      </c>
      <c r="G17" s="63">
        <f>IFERROR('Historicals&gt;'!G10,0)</f>
        <v>0.61577254004834536</v>
      </c>
      <c r="H17" s="63">
        <f>IFERROR('Historicals&gt;'!H10,0)</f>
        <v>0.5829710357793314</v>
      </c>
      <c r="I17" s="63">
        <f>IFERROR('Historicals&gt;'!I10,0)</f>
        <v>0.59911559911559908</v>
      </c>
      <c r="J17" s="63">
        <f>IFERROR('Historicals&gt;'!J10,0)</f>
        <v>0.60700541076055481</v>
      </c>
      <c r="K17" s="63">
        <f>IFERROR('Historicals&gt;'!K10,0)</f>
        <v>0.5725335660040527</v>
      </c>
      <c r="L17" s="63">
        <f>IFERROR('Historicals&gt;'!L10,0)</f>
        <v>0.57024137376562989</v>
      </c>
      <c r="M17" s="57"/>
      <c r="N17" s="56">
        <f t="shared" si="3"/>
        <v>0.61231595965976537</v>
      </c>
      <c r="O17" s="56">
        <f t="shared" ref="O17:O19" si="4">IFERROR(MEDIAN(C17:L17),0)</f>
        <v>0.61138897540445014</v>
      </c>
    </row>
    <row r="18" spans="2:15" x14ac:dyDescent="0.3">
      <c r="B18" t="s">
        <v>145</v>
      </c>
      <c r="C18" s="5">
        <f>IFERROR('Historicals&gt;'!C27,0)</f>
        <v>3.4055983343798543E-2</v>
      </c>
      <c r="D18" s="5">
        <f>IFERROR('Historicals&gt;'!D27,0)</f>
        <v>3.5126349225241577E-2</v>
      </c>
      <c r="E18" s="5">
        <f>IFERROR('Historicals&gt;'!E27,0)</f>
        <v>4.0450730626677457E-2</v>
      </c>
      <c r="F18" s="5">
        <f>IFERROR('Historicals&gt;'!F27,0)</f>
        <v>3.3860759493670886E-2</v>
      </c>
      <c r="G18" s="5">
        <f>IFERROR('Historicals&gt;'!G27,0)</f>
        <v>3.7369064590106658E-2</v>
      </c>
      <c r="H18" s="5">
        <f>IFERROR('Historicals&gt;'!H27,0)</f>
        <v>3.3620233828799716E-2</v>
      </c>
      <c r="I18" s="5">
        <f>IFERROR('Historicals&gt;'!I27,0)</f>
        <v>2.9972279972279973E-2</v>
      </c>
      <c r="J18" s="5">
        <f>IFERROR('Historicals&gt;'!J27,0)</f>
        <v>3.632893867804704E-2</v>
      </c>
      <c r="K18" s="5">
        <f>IFERROR('Historicals&gt;'!K27,0)</f>
        <v>3.9699441475469117E-2</v>
      </c>
      <c r="L18" s="5">
        <f>IFERROR('Historicals&gt;'!L27,0)</f>
        <v>4.3655037404383368E-2</v>
      </c>
      <c r="M18" s="54"/>
      <c r="N18" s="58">
        <f>IFERROR(AVERAGE(C18:L18),0)</f>
        <v>3.6413881863847433E-2</v>
      </c>
      <c r="O18" s="58">
        <f t="shared" si="4"/>
        <v>3.5727643951644308E-2</v>
      </c>
    </row>
    <row r="19" spans="2:15" x14ac:dyDescent="0.3">
      <c r="B19" s="59" t="s">
        <v>146</v>
      </c>
      <c r="C19" s="64">
        <f>C13</f>
        <v>0.18414356059354239</v>
      </c>
      <c r="D19" s="64">
        <f t="shared" ref="D19:L19" si="5">D13</f>
        <v>0.17505151418220768</v>
      </c>
      <c r="E19" s="64">
        <f t="shared" si="5"/>
        <v>0.1401894375097632</v>
      </c>
      <c r="F19" s="64">
        <f t="shared" si="5"/>
        <v>0.17748296007789685</v>
      </c>
      <c r="G19" s="64">
        <f t="shared" si="5"/>
        <v>0.19829495190817761</v>
      </c>
      <c r="H19" s="64">
        <f t="shared" si="5"/>
        <v>0.29577188962653977</v>
      </c>
      <c r="I19" s="64">
        <f t="shared" si="5"/>
        <v>0.2103834603834604</v>
      </c>
      <c r="J19" s="64">
        <f t="shared" si="5"/>
        <v>0.18775085098816244</v>
      </c>
      <c r="K19" s="64">
        <f t="shared" si="5"/>
        <v>0.22841529427297089</v>
      </c>
      <c r="L19" s="64">
        <f t="shared" si="5"/>
        <v>0.22948501655185427</v>
      </c>
      <c r="M19" s="61"/>
      <c r="N19" s="60">
        <f t="shared" si="3"/>
        <v>0.20269689360945753</v>
      </c>
      <c r="O19" s="60">
        <f t="shared" si="4"/>
        <v>0.19302290144817003</v>
      </c>
    </row>
    <row r="20" spans="2:15" x14ac:dyDescent="0.3">
      <c r="M20" s="54"/>
      <c r="O20" s="62"/>
    </row>
    <row r="21" spans="2:15" x14ac:dyDescent="0.3">
      <c r="B21" s="55" t="s">
        <v>147</v>
      </c>
      <c r="C21" s="56">
        <f>IFERROR((SUM('Historicals&gt;'!C29,'Historicals&gt;'!C23)/SUM('Historicals&gt;'!C49:C50)),0)</f>
        <v>0.18827027529290521</v>
      </c>
      <c r="D21" s="56">
        <f>IFERROR((SUM('Historicals&gt;'!D29,'Historicals&gt;'!D23)/SUM('Historicals&gt;'!D49:D50)),0)</f>
        <v>0.17256374342766209</v>
      </c>
      <c r="E21" s="56">
        <f>IFERROR((SUM('Historicals&gt;'!E29,'Historicals&gt;'!E23)/SUM('Historicals&gt;'!E49:E50)),0)</f>
        <v>0.13696368492247948</v>
      </c>
      <c r="F21" s="56">
        <f>IFERROR((SUM('Historicals&gt;'!F29,'Historicals&gt;'!F23)/SUM('Historicals&gt;'!F49:F50)),0)</f>
        <v>0.19703674677224303</v>
      </c>
      <c r="G21" s="56">
        <f>IFERROR((SUM('Historicals&gt;'!G29,'Historicals&gt;'!G23)/SUM('Historicals&gt;'!G49:G50)),0)</f>
        <v>0.24515670607249099</v>
      </c>
      <c r="H21" s="56">
        <f>IFERROR((SUM('Historicals&gt;'!H29,'Historicals&gt;'!H23)/SUM('Historicals&gt;'!H49:H50)),0)</f>
        <v>0.33381775181933215</v>
      </c>
      <c r="I21" s="56">
        <f>IFERROR((SUM('Historicals&gt;'!I29,'Historicals&gt;'!I23)/SUM('Historicals&gt;'!I49:I50)),0)</f>
        <v>0.23898262992413769</v>
      </c>
      <c r="J21" s="56">
        <f>IFERROR((SUM('Historicals&gt;'!J29,'Historicals&gt;'!J23)/SUM('Historicals&gt;'!J49:J50)),0)</f>
        <v>0.23838475060071931</v>
      </c>
      <c r="K21" s="56">
        <f>IFERROR((SUM('Historicals&gt;'!K29,'Historicals&gt;'!K23)/SUM('Historicals&gt;'!K49:K50)),0)</f>
        <v>0.27223748259690139</v>
      </c>
      <c r="L21" s="56">
        <f>IFERROR((SUM('Historicals&gt;'!L29,'Historicals&gt;'!L23)/SUM('Historicals&gt;'!L49:L50)),0)</f>
        <v>0.2618806286626354</v>
      </c>
      <c r="M21" s="57"/>
      <c r="N21" s="56">
        <f t="shared" si="3"/>
        <v>0.22852944000915071</v>
      </c>
      <c r="O21" s="56">
        <f t="shared" ref="O21:O25" si="6">IFERROR(MEDIAN(C21:L21),0)</f>
        <v>0.2386836902624285</v>
      </c>
    </row>
    <row r="22" spans="2:15" x14ac:dyDescent="0.3">
      <c r="B22" t="s">
        <v>148</v>
      </c>
      <c r="C22" s="58">
        <f>IFERROR('Historicals&gt;'!C46,0)</f>
        <v>0.73931755302797408</v>
      </c>
      <c r="D22" s="58">
        <f>IFERROR('Historicals&gt;'!D46,0)</f>
        <v>0.95401550892034059</v>
      </c>
      <c r="E22" s="58">
        <f>IFERROR('Historicals&gt;'!E46,0)</f>
        <v>0.87954152249134976</v>
      </c>
      <c r="F22" s="58">
        <f>IFERROR('Historicals&gt;'!F46,0)</f>
        <v>0.79316389132340059</v>
      </c>
      <c r="G22" s="58">
        <f>IFERROR('Historicals&gt;'!G46,0)</f>
        <v>0.68783729211791922</v>
      </c>
      <c r="H22" s="58">
        <f>IFERROR('Historicals&gt;'!H46,0)</f>
        <v>0.71564255774547392</v>
      </c>
      <c r="I22" s="58">
        <f>IFERROR('Historicals&gt;'!I46,0)</f>
        <v>0.6696197285255413</v>
      </c>
      <c r="J22" s="58">
        <f>IFERROR('Historicals&gt;'!J46,0)</f>
        <v>0.66492682926829283</v>
      </c>
      <c r="K22" s="58">
        <f>IFERROR('Historicals&gt;'!K46,0)</f>
        <v>0.65597235039719148</v>
      </c>
      <c r="L22" s="58">
        <f>IFERROR('Historicals&gt;'!L46,0)</f>
        <v>0.63410603556754919</v>
      </c>
      <c r="M22" s="54"/>
      <c r="N22" s="58">
        <f t="shared" si="3"/>
        <v>0.73941432693850317</v>
      </c>
      <c r="O22" s="58">
        <f t="shared" si="6"/>
        <v>0.70173992493169657</v>
      </c>
    </row>
    <row r="23" spans="2:15" x14ac:dyDescent="0.3">
      <c r="B23" t="s">
        <v>149</v>
      </c>
      <c r="C23" s="58">
        <f>IFERROR('Historicals&gt;'!C35/SUM('Historicals&gt;'!C49:C50),0)</f>
        <v>0.13739303785171855</v>
      </c>
      <c r="D23" s="58">
        <f>IFERROR('Historicals&gt;'!D35/SUM('Historicals&gt;'!D49:D50),0)</f>
        <v>0.13523066431028033</v>
      </c>
      <c r="E23" s="58">
        <f>IFERROR('Historicals&gt;'!E35/SUM('Historicals&gt;'!E49:E50),0)</f>
        <v>9.6229752696750243E-2</v>
      </c>
      <c r="F23" s="58">
        <f>IFERROR('Historicals&gt;'!F35/SUM('Historicals&gt;'!F49:F50),0)</f>
        <v>0.13104929972367299</v>
      </c>
      <c r="G23" s="58">
        <f>IFERROR('Historicals&gt;'!G35/SUM('Historicals&gt;'!G49:G50),0)</f>
        <v>0.18975402127496541</v>
      </c>
      <c r="H23" s="58">
        <f>IFERROR('Historicals&gt;'!H35/SUM('Historicals&gt;'!H49:H50),0)</f>
        <v>0.2478380752929995</v>
      </c>
      <c r="I23" s="58">
        <f>IFERROR('Historicals&gt;'!I35/SUM('Historicals&gt;'!I49:I50),0)</f>
        <v>0.18088869937632662</v>
      </c>
      <c r="J23" s="58">
        <f>IFERROR('Historicals&gt;'!J35/SUM('Historicals&gt;'!J49:J50),0)</f>
        <v>0.16529858568917424</v>
      </c>
      <c r="K23" s="58">
        <f>IFERROR('Historicals&gt;'!K35/SUM('Historicals&gt;'!K49:K50),0)</f>
        <v>0.18904126458525028</v>
      </c>
      <c r="L23" s="58">
        <f>IFERROR('Historicals&gt;'!L35/SUM('Historicals&gt;'!L49:L50),0)</f>
        <v>0.19211433830810976</v>
      </c>
      <c r="M23" s="54"/>
      <c r="N23" s="58">
        <f t="shared" si="3"/>
        <v>0.16648377391092478</v>
      </c>
      <c r="O23" s="58">
        <f t="shared" si="6"/>
        <v>0.17309364253275045</v>
      </c>
    </row>
    <row r="24" spans="2:15" x14ac:dyDescent="0.3">
      <c r="B24" t="s">
        <v>150</v>
      </c>
      <c r="C24" s="58">
        <f>IFERROR(C22*C23,0)</f>
        <v>0.10157708454761238</v>
      </c>
      <c r="D24" s="58">
        <f t="shared" ref="D24:L24" si="7">IFERROR(D22*D23,0)</f>
        <v>0.12901215103360783</v>
      </c>
      <c r="E24" s="58">
        <f t="shared" si="7"/>
        <v>8.4638063195865781E-2</v>
      </c>
      <c r="F24" s="58">
        <f t="shared" si="7"/>
        <v>0.10394357252403512</v>
      </c>
      <c r="G24" s="58">
        <f t="shared" si="7"/>
        <v>0.13051989216225823</v>
      </c>
      <c r="H24" s="58">
        <f t="shared" si="7"/>
        <v>0.17736347410939751</v>
      </c>
      <c r="I24" s="58">
        <f t="shared" si="7"/>
        <v>0.12112664176971409</v>
      </c>
      <c r="J24" s="58">
        <f t="shared" si="7"/>
        <v>0.10991146446483584</v>
      </c>
      <c r="K24" s="58">
        <f t="shared" si="7"/>
        <v>0.12400584265204398</v>
      </c>
      <c r="L24" s="58">
        <f t="shared" si="7"/>
        <v>0.12182086144023842</v>
      </c>
      <c r="M24" s="54"/>
      <c r="N24" s="58">
        <f t="shared" si="3"/>
        <v>0.12039190478996094</v>
      </c>
      <c r="O24" s="58">
        <f t="shared" si="6"/>
        <v>0.12147375160497625</v>
      </c>
    </row>
    <row r="25" spans="2:15" x14ac:dyDescent="0.3">
      <c r="B25" s="59" t="s">
        <v>151</v>
      </c>
      <c r="C25" s="65">
        <f>IFERROR('Historicals&gt;'!C23/'Historicals&gt;'!C35,0)</f>
        <v>6.5478020288964045E-2</v>
      </c>
      <c r="D25" s="65">
        <f>IFERROR('Historicals&gt;'!D23/'Historicals&gt;'!D35,0)</f>
        <v>2.9119895884171146E-2</v>
      </c>
      <c r="E25" s="65">
        <f>IFERROR('Historicals&gt;'!E23/'Historicals&gt;'!E35,0)</f>
        <v>2.5158592848904211E-2</v>
      </c>
      <c r="F25" s="65">
        <f>IFERROR('Historicals&gt;'!F23/'Historicals&gt;'!F35,0)</f>
        <v>2.3972779295767379E-2</v>
      </c>
      <c r="G25" s="65">
        <f>IFERROR('Historicals&gt;'!G23/'Historicals&gt;'!G35,0)</f>
        <v>1.1123756378721681E-2</v>
      </c>
      <c r="H25" s="65">
        <f>IFERROR('Historicals&gt;'!H23/'Historicals&gt;'!H35,0)</f>
        <v>1.614197806117899E-2</v>
      </c>
      <c r="I25" s="65">
        <f>IFERROR('Historicals&gt;'!I23/'Historicals&gt;'!I35,0)</f>
        <v>1.3262874313542639E-2</v>
      </c>
      <c r="J25" s="65">
        <f>IFERROR('Historicals&gt;'!J23/'Historicals&gt;'!J35,0)</f>
        <v>8.7926829268292622E-2</v>
      </c>
      <c r="K25" s="65">
        <f>IFERROR('Historicals&gt;'!K23/'Historicals&gt;'!K35,0)</f>
        <v>8.0216419665960992E-2</v>
      </c>
      <c r="L25" s="65">
        <f>IFERROR('Historicals&gt;'!L23/'Historicals&gt;'!L35,0)</f>
        <v>1.7783774769174806E-2</v>
      </c>
      <c r="M25" s="61"/>
      <c r="N25" s="65">
        <f t="shared" si="3"/>
        <v>3.7018492077467852E-2</v>
      </c>
      <c r="O25" s="65">
        <f t="shared" si="6"/>
        <v>2.4565686072335793E-2</v>
      </c>
    </row>
    <row r="26" spans="2:15" x14ac:dyDescent="0.3">
      <c r="M26" s="54"/>
      <c r="O26" s="62"/>
    </row>
    <row r="27" spans="2:15" x14ac:dyDescent="0.3">
      <c r="B27" s="55" t="s">
        <v>152</v>
      </c>
      <c r="C27" s="66">
        <f>IFERROR('Historicals&gt;'!C6/'Historicals&gt;'!C61,0)</f>
        <v>4.439407276995305</v>
      </c>
      <c r="D27" s="66">
        <f>IFERROR('Historicals&gt;'!D6/'Historicals&gt;'!D61,0)</f>
        <v>5.0542918374252732</v>
      </c>
      <c r="E27" s="66">
        <f>IFERROR('Historicals&gt;'!E6/'Historicals&gt;'!E61,0)</f>
        <v>4.6832042031057757</v>
      </c>
      <c r="F27" s="66">
        <f>IFERROR('Historicals&gt;'!F6/'Historicals&gt;'!F61,0)</f>
        <v>5.3312568944260592</v>
      </c>
      <c r="G27" s="66">
        <f>IFERROR('Historicals&gt;'!G6/'Historicals&gt;'!G61,0)</f>
        <v>5.1377413658338877</v>
      </c>
      <c r="H27" s="66">
        <f>IFERROR('Historicals&gt;'!H6/'Historicals&gt;'!H61,0)</f>
        <v>5.2504241427175984</v>
      </c>
      <c r="I27" s="66">
        <f>IFERROR('Historicals&gt;'!I6/'Historicals&gt;'!I61,0)</f>
        <v>4.362576256545915</v>
      </c>
      <c r="J27" s="66">
        <f>IFERROR('Historicals&gt;'!J6/'Historicals&gt;'!J61,0)</f>
        <v>5.4693990969086492</v>
      </c>
      <c r="K27" s="66">
        <f>IFERROR('Historicals&gt;'!K6/'Historicals&gt;'!K61,0)</f>
        <v>5.0721772549933037</v>
      </c>
      <c r="L27" s="66">
        <f>IFERROR('Historicals&gt;'!L6/'Historicals&gt;'!L61,0)</f>
        <v>4.8051092742034385</v>
      </c>
      <c r="M27" s="57"/>
      <c r="N27" s="66">
        <f t="shared" si="3"/>
        <v>4.9605587603155206</v>
      </c>
      <c r="O27" s="66">
        <f t="shared" ref="O27:O31" si="8">IFERROR(MEDIAN(C27:L27),0)</f>
        <v>5.0632345462092889</v>
      </c>
    </row>
    <row r="28" spans="2:15" x14ac:dyDescent="0.3">
      <c r="B28" t="s">
        <v>153</v>
      </c>
      <c r="C28" s="67">
        <f>IFERROR('Historicals&gt;'!C6/'Historicals&gt;'!C51,0)</f>
        <v>6.2576775928032262</v>
      </c>
      <c r="D28" s="67">
        <f>IFERROR('Historicals&gt;'!D6/'Historicals&gt;'!D51,0)</f>
        <v>27.513098649201801</v>
      </c>
      <c r="E28" s="67">
        <f>IFERROR('Historicals&gt;'!E6/'Historicals&gt;'!E51,0)</f>
        <v>48.083987709115746</v>
      </c>
      <c r="F28" s="67">
        <f>IFERROR('Historicals&gt;'!F6/'Historicals&gt;'!F51,0)</f>
        <v>63.689922480620154</v>
      </c>
      <c r="G28" s="67">
        <f>IFERROR('Historicals&gt;'!G6/'Historicals&gt;'!G51,0)</f>
        <v>60.180739233638526</v>
      </c>
      <c r="H28" s="67">
        <f>IFERROR('Historicals&gt;'!H6/'Historicals&gt;'!H51,0)</f>
        <v>45.409515340151181</v>
      </c>
      <c r="I28" s="67">
        <f>IFERROR('Historicals&gt;'!I6/'Historicals&gt;'!I51,0)</f>
        <v>44.432551319648091</v>
      </c>
      <c r="J28" s="67">
        <f>IFERROR('Historicals&gt;'!J6/'Historicals&gt;'!J51,0)</f>
        <v>5.50140623635252</v>
      </c>
      <c r="K28" s="67">
        <f>IFERROR('Historicals&gt;'!K6/'Historicals&gt;'!K51,0)</f>
        <v>9.2259499536607965</v>
      </c>
      <c r="L28" s="67">
        <f>IFERROR('Historicals&gt;'!L6/'Historicals&gt;'!L51,0)</f>
        <v>140.48010039440658</v>
      </c>
      <c r="M28" s="54"/>
      <c r="N28" s="67">
        <f t="shared" si="3"/>
        <v>45.077494890959862</v>
      </c>
      <c r="O28" s="67">
        <f t="shared" si="8"/>
        <v>44.921033329899636</v>
      </c>
    </row>
    <row r="29" spans="2:15" x14ac:dyDescent="0.3">
      <c r="B29" t="s">
        <v>154</v>
      </c>
      <c r="C29" s="67">
        <f>IFERROR('Historicals&gt;'!C9/'Historicals&gt;'!C62,0)</f>
        <v>4.1138950952228956</v>
      </c>
      <c r="D29" s="67">
        <f>IFERROR('Historicals&gt;'!D9/'Historicals&gt;'!D62,0)</f>
        <v>4.3882200129889597</v>
      </c>
      <c r="E29" s="67">
        <f>IFERROR('Historicals&gt;'!E9/'Historicals&gt;'!E62,0)</f>
        <v>4.3211996444111724</v>
      </c>
      <c r="F29" s="67">
        <f>IFERROR('Historicals&gt;'!F9/'Historicals&gt;'!F62,0)</f>
        <v>4.229364949130292</v>
      </c>
      <c r="G29" s="67">
        <f>IFERROR('Historicals&gt;'!G9/'Historicals&gt;'!G62,0)</f>
        <v>3.9787017147850143</v>
      </c>
      <c r="H29" s="67">
        <f>IFERROR('Historicals&gt;'!H9/'Historicals&gt;'!H62,0)</f>
        <v>3.4270542524104188</v>
      </c>
      <c r="I29" s="67">
        <f>IFERROR('Historicals&gt;'!I9/'Historicals&gt;'!I62,0)</f>
        <v>3.5427846619182359</v>
      </c>
      <c r="J29" s="67">
        <f>IFERROR('Historicals&gt;'!J9/'Historicals&gt;'!J62,0)</f>
        <v>4.4406941089016909</v>
      </c>
      <c r="K29" s="67">
        <f>IFERROR('Historicals&gt;'!K9/'Historicals&gt;'!K62,0)</f>
        <v>3.9696921454299421</v>
      </c>
      <c r="L29" s="67">
        <f>IFERROR('Historicals&gt;'!L9/'Historicals&gt;'!L62,0)</f>
        <v>4.2237598306110105</v>
      </c>
      <c r="M29" s="54"/>
      <c r="N29" s="67">
        <f t="shared" si="3"/>
        <v>4.0635366415809635</v>
      </c>
      <c r="O29" s="67">
        <f t="shared" si="8"/>
        <v>4.1688274629169531</v>
      </c>
    </row>
    <row r="30" spans="2:15" x14ac:dyDescent="0.3">
      <c r="B30" t="s">
        <v>155</v>
      </c>
      <c r="C30" s="67">
        <f>IFERROR('Historicals&gt;'!C6/'Historicals&gt;'!C55,0)</f>
        <v>2.7494434600881372</v>
      </c>
      <c r="D30" s="67">
        <f>IFERROR('Historicals&gt;'!D6/'Historicals&gt;'!D55,0)</f>
        <v>1.978526433533498</v>
      </c>
      <c r="E30" s="67">
        <f>IFERROR('Historicals&gt;'!E6/'Historicals&gt;'!E55,0)</f>
        <v>2.2023143080531669</v>
      </c>
      <c r="F30" s="67">
        <f>IFERROR('Historicals&gt;'!F6/'Historicals&gt;'!F55,0)</f>
        <v>2.6463530510685587</v>
      </c>
      <c r="G30" s="67">
        <f>IFERROR('Historicals&gt;'!G6/'Historicals&gt;'!G55,0)</f>
        <v>2.7250714000552776</v>
      </c>
      <c r="H30" s="67">
        <f>IFERROR('Historicals&gt;'!H6/'Historicals&gt;'!H55,0)</f>
        <v>3.2234198690128619</v>
      </c>
      <c r="I30" s="67">
        <f>IFERROR('Historicals&gt;'!I6/'Historicals&gt;'!I55,0)</f>
        <v>1.8984017102718109</v>
      </c>
      <c r="J30" s="67">
        <f>IFERROR('Historicals&gt;'!J6/'Historicals&gt;'!J55,0)</f>
        <v>1.6566351571006992</v>
      </c>
      <c r="K30" s="67">
        <f>IFERROR('Historicals&gt;'!K6/'Historicals&gt;'!K55,0)</f>
        <v>1.7382658152065453</v>
      </c>
      <c r="L30" s="67">
        <f>IFERROR('Historicals&gt;'!L6/'Historicals&gt;'!L55,0)</f>
        <v>1.9906563898810581</v>
      </c>
      <c r="M30" s="54"/>
      <c r="N30" s="67">
        <f t="shared" si="3"/>
        <v>2.2809087594271609</v>
      </c>
      <c r="O30" s="67">
        <f t="shared" si="8"/>
        <v>2.0964853489671125</v>
      </c>
    </row>
    <row r="31" spans="2:15" x14ac:dyDescent="0.3">
      <c r="B31" s="59" t="s">
        <v>156</v>
      </c>
      <c r="C31" s="65">
        <f>IFERROR('Historicals&gt;'!C6/SUM('Historicals&gt;'!C49:C50),0)</f>
        <v>1.0224103122914607</v>
      </c>
      <c r="D31" s="65">
        <f>IFERROR('Historicals&gt;'!D6/SUM('Historicals&gt;'!D49:D50),0)</f>
        <v>0.98578835055401959</v>
      </c>
      <c r="E31" s="65">
        <f>IFERROR('Historicals&gt;'!E6/SUM('Historicals&gt;'!E49:E50),0)</f>
        <v>0.97699004543720314</v>
      </c>
      <c r="F31" s="65">
        <f>IFERROR('Historicals&gt;'!F6/SUM('Historicals&gt;'!F49:F50),0)</f>
        <v>1.1101727550958362</v>
      </c>
      <c r="G31" s="65">
        <f>IFERROR('Historicals&gt;'!G6/SUM('Historicals&gt;'!G49:G50),0)</f>
        <v>1.2363234853603995</v>
      </c>
      <c r="H31" s="65">
        <f>IFERROR('Historicals&gt;'!H6/SUM('Historicals&gt;'!H49:H50),0)</f>
        <v>1.1286324479342222</v>
      </c>
      <c r="I31" s="65">
        <f>IFERROR('Historicals&gt;'!I6/SUM('Historicals&gt;'!I49:I50),0)</f>
        <v>1.1359382980418249</v>
      </c>
      <c r="J31" s="65">
        <f>IFERROR('Historicals&gt;'!J6/SUM('Historicals&gt;'!J49:J50),0)</f>
        <v>1.2696866583882984</v>
      </c>
      <c r="K31" s="65">
        <f>IFERROR('Historicals&gt;'!K6/SUM('Historicals&gt;'!K49:K50),0)</f>
        <v>1.1918531264003722</v>
      </c>
      <c r="L31" s="65">
        <f>IFERROR('Historicals&gt;'!L6/SUM('Historicals&gt;'!L49:L50),0)</f>
        <v>1.1411665676371558</v>
      </c>
      <c r="M31" s="61"/>
      <c r="N31" s="65">
        <f t="shared" si="3"/>
        <v>1.1198962047140795</v>
      </c>
      <c r="O31" s="65">
        <f t="shared" si="8"/>
        <v>1.1322853729880236</v>
      </c>
    </row>
    <row r="32" spans="2:15" x14ac:dyDescent="0.3"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54"/>
      <c r="O32" s="62"/>
    </row>
    <row r="33" spans="2:15" x14ac:dyDescent="0.3">
      <c r="B33" s="68"/>
      <c r="M33" s="54"/>
      <c r="O33" s="62"/>
    </row>
    <row r="34" spans="2:15" x14ac:dyDescent="0.3">
      <c r="B34" s="55" t="s">
        <v>157</v>
      </c>
      <c r="C34" s="71">
        <f>IFERROR((365/C27),0)</f>
        <v>82.218183019927963</v>
      </c>
      <c r="D34" s="71">
        <f t="shared" ref="D34:L34" si="9">IFERROR((365/D27),0)</f>
        <v>72.215853722039142</v>
      </c>
      <c r="E34" s="71">
        <f t="shared" si="9"/>
        <v>77.93809199221802</v>
      </c>
      <c r="F34" s="71">
        <f t="shared" si="9"/>
        <v>68.464155306718595</v>
      </c>
      <c r="G34" s="71">
        <f t="shared" si="9"/>
        <v>71.042891031311811</v>
      </c>
      <c r="H34" s="71">
        <f t="shared" si="9"/>
        <v>69.518193212306358</v>
      </c>
      <c r="I34" s="71">
        <f t="shared" si="9"/>
        <v>83.666159291159303</v>
      </c>
      <c r="J34" s="71">
        <f t="shared" si="9"/>
        <v>66.734936239394401</v>
      </c>
      <c r="K34" s="71">
        <f t="shared" si="9"/>
        <v>71.961207515111155</v>
      </c>
      <c r="L34" s="71">
        <f t="shared" si="9"/>
        <v>75.96081153856953</v>
      </c>
      <c r="M34" s="55"/>
      <c r="N34" s="71">
        <f t="shared" ref="N34:N41" si="10">IFERROR(AVERAGE(C34:L34),0)</f>
        <v>73.972048286875619</v>
      </c>
      <c r="O34" s="71">
        <f t="shared" ref="O34:O37" si="11">IFERROR(MEDIAN(C34:L34),0)</f>
        <v>72.088530618575149</v>
      </c>
    </row>
    <row r="35" spans="2:15" x14ac:dyDescent="0.3">
      <c r="B35" t="s">
        <v>158</v>
      </c>
      <c r="C35" s="72">
        <f>IFERROR(365/C28,0)</f>
        <v>58.328348590501996</v>
      </c>
      <c r="D35" s="72">
        <f t="shared" ref="D35:L36" si="12">IFERROR(365/D28,0)</f>
        <v>13.266408289877928</v>
      </c>
      <c r="E35" s="72">
        <f t="shared" si="12"/>
        <v>7.5908845624050318</v>
      </c>
      <c r="F35" s="72">
        <f t="shared" si="12"/>
        <v>5.7308909444985394</v>
      </c>
      <c r="G35" s="72">
        <f t="shared" si="12"/>
        <v>6.0650634180974006</v>
      </c>
      <c r="H35" s="72">
        <f t="shared" si="12"/>
        <v>8.0379629085639301</v>
      </c>
      <c r="I35" s="72">
        <f t="shared" si="12"/>
        <v>8.214698214698215</v>
      </c>
      <c r="J35" s="72">
        <f t="shared" si="12"/>
        <v>66.346672890311439</v>
      </c>
      <c r="K35" s="72">
        <f t="shared" si="12"/>
        <v>39.56232169405714</v>
      </c>
      <c r="L35" s="72">
        <f t="shared" si="12"/>
        <v>2.5982327673118109</v>
      </c>
      <c r="N35" s="72">
        <f t="shared" si="10"/>
        <v>21.574148428032341</v>
      </c>
      <c r="O35" s="72">
        <f t="shared" si="11"/>
        <v>8.1263305616310717</v>
      </c>
    </row>
    <row r="36" spans="2:15" x14ac:dyDescent="0.3">
      <c r="B36" t="s">
        <v>159</v>
      </c>
      <c r="C36" s="72">
        <f>IFERROR(365/C29,0)</f>
        <v>88.723701395264641</v>
      </c>
      <c r="D36" s="72">
        <f t="shared" si="12"/>
        <v>83.17723334737417</v>
      </c>
      <c r="E36" s="72">
        <f t="shared" si="12"/>
        <v>84.467284558831508</v>
      </c>
      <c r="F36" s="72">
        <f t="shared" si="12"/>
        <v>86.301372520490816</v>
      </c>
      <c r="G36" s="72">
        <f t="shared" si="12"/>
        <v>91.738468014238265</v>
      </c>
      <c r="H36" s="72">
        <f t="shared" si="12"/>
        <v>106.50546303528088</v>
      </c>
      <c r="I36" s="72">
        <f t="shared" si="12"/>
        <v>103.02630129440925</v>
      </c>
      <c r="J36" s="72">
        <f t="shared" si="12"/>
        <v>82.19435769474218</v>
      </c>
      <c r="K36" s="72">
        <f t="shared" si="12"/>
        <v>91.946676625844063</v>
      </c>
      <c r="L36" s="72">
        <f t="shared" si="12"/>
        <v>86.415898308119239</v>
      </c>
      <c r="N36" s="72">
        <f t="shared" si="10"/>
        <v>90.449675679459489</v>
      </c>
      <c r="O36" s="72">
        <f t="shared" si="11"/>
        <v>87.56979985169194</v>
      </c>
    </row>
    <row r="37" spans="2:15" x14ac:dyDescent="0.3">
      <c r="B37" s="59" t="s">
        <v>160</v>
      </c>
      <c r="C37" s="73">
        <f>SUM(C34,C36)-C35</f>
        <v>112.61353582469059</v>
      </c>
      <c r="D37" s="73">
        <f t="shared" ref="D37:L37" si="13">SUM(D34,D36)-D35</f>
        <v>142.12667877953538</v>
      </c>
      <c r="E37" s="73">
        <f t="shared" si="13"/>
        <v>154.81449198864451</v>
      </c>
      <c r="F37" s="73">
        <f t="shared" si="13"/>
        <v>149.03463688271088</v>
      </c>
      <c r="G37" s="73">
        <f t="shared" si="13"/>
        <v>156.71629562745267</v>
      </c>
      <c r="H37" s="73">
        <f t="shared" si="13"/>
        <v>167.9856933390233</v>
      </c>
      <c r="I37" s="73">
        <f t="shared" si="13"/>
        <v>178.47776237087032</v>
      </c>
      <c r="J37" s="73">
        <f t="shared" si="13"/>
        <v>82.582621043825142</v>
      </c>
      <c r="K37" s="73">
        <f t="shared" si="13"/>
        <v>124.34556244689807</v>
      </c>
      <c r="L37" s="73">
        <f t="shared" si="13"/>
        <v>159.77847707937696</v>
      </c>
      <c r="M37" s="59"/>
      <c r="N37" s="73">
        <f t="shared" si="10"/>
        <v>142.84757553830281</v>
      </c>
      <c r="O37" s="73">
        <f t="shared" si="11"/>
        <v>151.92456443567769</v>
      </c>
    </row>
    <row r="38" spans="2:15" x14ac:dyDescent="0.3">
      <c r="O38" s="74"/>
    </row>
    <row r="39" spans="2:15" x14ac:dyDescent="0.3">
      <c r="B39" s="55" t="s">
        <v>161</v>
      </c>
      <c r="C39" s="75">
        <f>IFERROR('Historicals&gt;'!C72/'Historicals&gt;'!C6,0)</f>
        <v>0.11566806569946132</v>
      </c>
      <c r="D39" s="75">
        <f>IFERROR('Historicals&gt;'!D72/'Historicals&gt;'!D6,0)</f>
        <v>0.14952130864619986</v>
      </c>
      <c r="E39" s="75">
        <f>IFERROR('Historicals&gt;'!E72/'Historicals&gt;'!E6,0)</f>
        <v>8.7334384186086134E-2</v>
      </c>
      <c r="F39" s="75">
        <f>IFERROR('Historicals&gt;'!F72/'Historicals&gt;'!F6,0)</f>
        <v>0.11806231742940604</v>
      </c>
      <c r="G39" s="75">
        <f>IFERROR('Historicals&gt;'!G72/'Historicals&gt;'!G6,0)</f>
        <v>0.15551661379477441</v>
      </c>
      <c r="H39" s="75">
        <f>IFERROR('Historicals&gt;'!H72/'Historicals&gt;'!H6,0)</f>
        <v>0.15422125609541154</v>
      </c>
      <c r="I39" s="75">
        <f>IFERROR('Historicals&gt;'!I72/'Historicals&gt;'!I6,0)</f>
        <v>7.0125070125070132E-2</v>
      </c>
      <c r="J39" s="75">
        <f>IFERROR('Historicals&gt;'!J72/'Historicals&gt;'!J6,0)</f>
        <v>0.19877559315145049</v>
      </c>
      <c r="K39" s="75">
        <f>IFERROR('Historicals&gt;'!K72/'Historicals&gt;'!K6,0)</f>
        <v>0.22989627401569379</v>
      </c>
      <c r="L39" s="75">
        <f>IFERROR('Historicals&gt;'!L72/'Historicals&gt;'!L6,0)</f>
        <v>0.23022008734070276</v>
      </c>
      <c r="M39" s="55"/>
      <c r="N39" s="75">
        <f t="shared" si="10"/>
        <v>0.15093409704842567</v>
      </c>
      <c r="O39" s="75">
        <f t="shared" ref="O39:O41" si="14">IFERROR(MEDIAN(C39:L39),0)</f>
        <v>0.15187128237080572</v>
      </c>
    </row>
    <row r="40" spans="2:15" x14ac:dyDescent="0.3">
      <c r="B40" t="s">
        <v>162</v>
      </c>
      <c r="C40" s="76">
        <f>IFERROR('Historicals&gt;'!C72/'Historicals&gt;'!C66,0)</f>
        <v>8.4968986319993209E-2</v>
      </c>
      <c r="D40" s="76">
        <f>IFERROR('Historicals&gt;'!D72/'Historicals&gt;'!D66,0)</f>
        <v>0.12006881555996272</v>
      </c>
      <c r="E40" s="76">
        <f>IFERROR('Historicals&gt;'!E72/'Historicals&gt;'!E66,0)</f>
        <v>6.9684042354300854E-2</v>
      </c>
      <c r="F40" s="76">
        <f>IFERROR('Historicals&gt;'!F72/'Historicals&gt;'!F66,0)</f>
        <v>0.1082619492731382</v>
      </c>
      <c r="G40" s="76">
        <f>IFERROR('Historicals&gt;'!G72/'Historicals&gt;'!G66,0)</f>
        <v>0.15215162239936494</v>
      </c>
      <c r="H40" s="76">
        <f>IFERROR('Historicals&gt;'!H72/'Historicals&gt;'!H66,0)</f>
        <v>0.14118153255915059</v>
      </c>
      <c r="I40" s="76">
        <f>IFERROR('Historicals&gt;'!I72/'Historicals&gt;'!I66,0)</f>
        <v>6.5360230990745755E-2</v>
      </c>
      <c r="J40" s="76">
        <f>IFERROR('Historicals&gt;'!J72/'Historicals&gt;'!J66,0)</f>
        <v>0.17646926164809884</v>
      </c>
      <c r="K40" s="76">
        <f>IFERROR('Historicals&gt;'!K72/'Historicals&gt;'!K66,0)</f>
        <v>0.20083996740424997</v>
      </c>
      <c r="L40" s="76">
        <f>IFERROR('Historicals&gt;'!L72/'Historicals&gt;'!L66,0)</f>
        <v>0.21147101299773058</v>
      </c>
      <c r="N40" s="76">
        <f t="shared" si="10"/>
        <v>0.13304574215067358</v>
      </c>
      <c r="O40" s="76">
        <f t="shared" si="14"/>
        <v>0.13062517405955665</v>
      </c>
    </row>
    <row r="41" spans="2:15" x14ac:dyDescent="0.3">
      <c r="B41" s="59" t="s">
        <v>163</v>
      </c>
      <c r="C41" s="77">
        <f>IFERROR('Historicals&gt;'!C72/SUM('Historicals&gt;'!C51:C52),0)</f>
        <v>0.30183472392902572</v>
      </c>
      <c r="D41" s="77">
        <f>IFERROR('Historicals&gt;'!D72/SUM('Historicals&gt;'!D51:D52),0)</f>
        <v>0.64761413796436507</v>
      </c>
      <c r="E41" s="77">
        <f>IFERROR('Historicals&gt;'!E72/SUM('Historicals&gt;'!E51:E52),0)</f>
        <v>0.38014587711707254</v>
      </c>
      <c r="F41" s="77">
        <f>IFERROR('Historicals&gt;'!F72/SUM('Historicals&gt;'!F51:F52),0)</f>
        <v>0.62215380668334297</v>
      </c>
      <c r="G41" s="77">
        <f>IFERROR('Historicals&gt;'!G72/SUM('Historicals&gt;'!G51:G52),0)</f>
        <v>0.72921345345980082</v>
      </c>
      <c r="H41" s="77">
        <f>IFERROR('Historicals&gt;'!H72/SUM('Historicals&gt;'!H51:H52),0)</f>
        <v>0.74743735763097952</v>
      </c>
      <c r="I41" s="77">
        <f>IFERROR('Historicals&gt;'!I72/SUM('Historicals&gt;'!I51:I52),0)</f>
        <v>0.36415045840116528</v>
      </c>
      <c r="J41" s="77">
        <f>IFERROR('Historicals&gt;'!J72/SUM('Historicals&gt;'!J51:J52),0)</f>
        <v>0.58669165885660735</v>
      </c>
      <c r="K41" s="77">
        <f>IFERROR('Historicals&gt;'!K72/SUM('Historicals&gt;'!K51:K52),0)</f>
        <v>0.75216917702738229</v>
      </c>
      <c r="L41" s="77">
        <f>IFERROR('Historicals&gt;'!L72/SUM('Historicals&gt;'!L51:L52),0)</f>
        <v>1.0840824960338447</v>
      </c>
      <c r="M41" s="59"/>
      <c r="N41" s="77">
        <f t="shared" si="10"/>
        <v>0.62154931471035868</v>
      </c>
      <c r="O41" s="77">
        <f t="shared" si="14"/>
        <v>0.63488397232385396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xr2:uid="{EAF18071-D0FA-4627-AE66-43AB6FFB6C85}">
          <x14:colorSeries theme="8" tint="-0.499984740745262"/>
          <x14:colorNegative theme="9"/>
          <x14:colorAxis rgb="FF000000"/>
          <x14:colorMarkers theme="4" tint="0.79998168889431442"/>
          <x14:colorFirst theme="8" tint="0.39997558519241921"/>
          <x14:colorLast theme="8" tint="0.39997558519241921"/>
          <x14:colorHigh theme="8"/>
          <x14:colorLow theme="8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  <x14:sparklineGroup displayEmptyCellsAs="gap" markers="1" high="1" xr2:uid="{7DC7F716-2203-4100-9B3B-BB8DC35F6F2C}">
          <x14:colorSeries theme="8" tint="-0.499984740745262"/>
          <x14:colorNegative theme="9"/>
          <x14:colorAxis rgb="FF000000"/>
          <x14:colorMarkers theme="4" tint="0.79998168889431442"/>
          <x14:colorFirst theme="8" tint="0.39997558519241921"/>
          <x14:colorLast theme="8" tint="0.39997558519241921"/>
          <x14:colorHigh theme="8"/>
          <x14:colorLow theme="8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3C4D-3055-4973-B2B6-4893F6B8E70E}">
  <sheetPr>
    <tabColor rgb="FF002060"/>
  </sheetPr>
  <dimension ref="B3:O19"/>
  <sheetViews>
    <sheetView showGridLines="0" zoomScale="95" zoomScaleNormal="130" workbookViewId="0">
      <selection activeCell="N16" sqref="N16"/>
    </sheetView>
  </sheetViews>
  <sheetFormatPr defaultRowHeight="14.4" x14ac:dyDescent="0.3"/>
  <cols>
    <col min="1" max="1" width="1.88671875" customWidth="1"/>
    <col min="2" max="2" width="14.21875" customWidth="1"/>
    <col min="3" max="3" width="11.33203125" customWidth="1"/>
    <col min="4" max="4" width="14.44140625" customWidth="1"/>
    <col min="5" max="5" width="16.109375" customWidth="1"/>
    <col min="6" max="6" width="2.77734375" customWidth="1"/>
    <col min="7" max="7" width="14" customWidth="1"/>
    <col min="8" max="8" width="13.33203125" customWidth="1"/>
    <col min="9" max="9" width="14.21875" customWidth="1"/>
    <col min="10" max="10" width="16.109375" customWidth="1"/>
    <col min="11" max="11" width="2.77734375" customWidth="1"/>
    <col min="12" max="12" width="13.109375" customWidth="1"/>
    <col min="13" max="13" width="12" customWidth="1"/>
    <col min="14" max="14" width="11.5546875" customWidth="1"/>
    <col min="15" max="15" width="15.6640625" customWidth="1"/>
  </cols>
  <sheetData>
    <row r="3" spans="2:15" x14ac:dyDescent="0.3">
      <c r="B3" s="93" t="str">
        <f>'Data Sheet'!$B$1&amp;" - "&amp;'Data Sheet'!A17&amp; " Forecasting"</f>
        <v>J B CHEMICALS &amp; PHARMACEUTICALS LTD - Sales Forecasting</v>
      </c>
      <c r="C3" s="93"/>
      <c r="D3" s="93"/>
      <c r="E3" s="93"/>
      <c r="G3" s="93" t="str">
        <f>'Data Sheet'!$B$1&amp;" - "&amp;'Historicals&gt;'!B20&amp;" Forecasting"</f>
        <v>J B CHEMICALS &amp; PHARMACEUTICALS LTD - EBITDA Forecasting</v>
      </c>
      <c r="H3" s="93"/>
      <c r="I3" s="93"/>
      <c r="J3" s="93"/>
      <c r="L3" s="93" t="str">
        <f>'Data Sheet'!$B$1&amp;" - "&amp;'Historicals&gt;'!B40&amp;" Forecasting"</f>
        <v>J B CHEMICALS &amp; PHARMACEUTICALS LTD - EPS Forecasting</v>
      </c>
      <c r="M3" s="93"/>
      <c r="N3" s="93"/>
      <c r="O3" s="93"/>
    </row>
    <row r="4" spans="2:15" x14ac:dyDescent="0.3">
      <c r="B4" s="43" t="s">
        <v>132</v>
      </c>
      <c r="C4" s="44" t="s">
        <v>133</v>
      </c>
      <c r="D4" s="44" t="s">
        <v>6</v>
      </c>
      <c r="E4" s="44" t="s">
        <v>22</v>
      </c>
      <c r="G4" s="43" t="s">
        <v>132</v>
      </c>
      <c r="H4" s="44" t="s">
        <v>133</v>
      </c>
      <c r="I4" s="44" t="s">
        <v>117</v>
      </c>
      <c r="J4" s="44" t="s">
        <v>190</v>
      </c>
      <c r="L4" s="43" t="s">
        <v>132</v>
      </c>
      <c r="M4" s="44" t="s">
        <v>133</v>
      </c>
      <c r="N4" s="44" t="s">
        <v>44</v>
      </c>
      <c r="O4" s="44" t="s">
        <v>189</v>
      </c>
    </row>
    <row r="5" spans="2:15" x14ac:dyDescent="0.3">
      <c r="B5" s="17">
        <v>1</v>
      </c>
      <c r="C5" s="45">
        <f>'Data Sheet'!$B$16</f>
        <v>42460</v>
      </c>
      <c r="D5" s="78">
        <f t="array" ref="D5:D14">TRANSPOSE('Data Sheet'!B17:K17)</f>
        <v>1210.3599999999999</v>
      </c>
      <c r="G5" s="17">
        <v>1</v>
      </c>
      <c r="H5" s="45">
        <f>'Data Sheet'!$B$16</f>
        <v>42460</v>
      </c>
      <c r="I5" s="78">
        <f t="array" ref="I5:I14">TRANSPOSE('Historicals&gt;'!C20:L20)</f>
        <v>264.09999999999997</v>
      </c>
      <c r="L5" s="17">
        <v>1</v>
      </c>
      <c r="M5" s="45">
        <f>'Data Sheet'!$B$16</f>
        <v>42460</v>
      </c>
      <c r="N5" s="78">
        <f t="array" ref="N5:N14">TRANSPOSE('Historicals&gt;'!C40:L40)</f>
        <v>9.5902122641509422</v>
      </c>
    </row>
    <row r="6" spans="2:15" x14ac:dyDescent="0.3">
      <c r="B6" s="17">
        <f>B5+1</f>
        <v>2</v>
      </c>
      <c r="C6" s="45">
        <f>C5+365</f>
        <v>42825</v>
      </c>
      <c r="D6" s="78">
        <v>1344.29</v>
      </c>
      <c r="E6" s="47">
        <f>IFERROR(D6/D5-1,0)</f>
        <v>0.11065302885092043</v>
      </c>
      <c r="G6" s="17">
        <f>G5+1</f>
        <v>2</v>
      </c>
      <c r="H6" s="45">
        <f>H5+365</f>
        <v>42825</v>
      </c>
      <c r="I6" s="78">
        <v>282.53999999999996</v>
      </c>
      <c r="J6" s="47">
        <f>IFERROR(I6/I5-1,0)</f>
        <v>6.9822037107156287E-2</v>
      </c>
      <c r="L6" s="17">
        <f>L5+1</f>
        <v>2</v>
      </c>
      <c r="M6" s="45">
        <f>M5+365</f>
        <v>42825</v>
      </c>
      <c r="N6" s="78">
        <v>10.873231132075469</v>
      </c>
      <c r="O6" s="47">
        <f>IFERROR(N6/N5-1,0)</f>
        <v>0.13378419920073759</v>
      </c>
    </row>
    <row r="7" spans="2:15" x14ac:dyDescent="0.3">
      <c r="B7" s="17">
        <f t="shared" ref="B7:B19" si="0">B6+1</f>
        <v>3</v>
      </c>
      <c r="C7" s="45">
        <f t="shared" ref="C7:C19" si="1">C6+365</f>
        <v>43190</v>
      </c>
      <c r="D7" s="78">
        <v>1408.38</v>
      </c>
      <c r="E7" s="47">
        <f t="shared" ref="E7:E19" si="2">IFERROR(D7/D6-1,0)</f>
        <v>4.7675724732014757E-2</v>
      </c>
      <c r="G7" s="17">
        <f t="shared" ref="G7" si="3">G6+1</f>
        <v>3</v>
      </c>
      <c r="H7" s="45">
        <f t="shared" ref="H7:H19" si="4">H6+365</f>
        <v>43190</v>
      </c>
      <c r="I7" s="78">
        <v>254.41000000000031</v>
      </c>
      <c r="J7" s="47">
        <f t="shared" ref="J7:J19" si="5">IFERROR(I7/I6-1,0)</f>
        <v>-9.9561124088623387E-2</v>
      </c>
      <c r="L7" s="17">
        <f t="shared" ref="L7:L19" si="6">L6+1</f>
        <v>3</v>
      </c>
      <c r="M7" s="45">
        <f t="shared" ref="M7:M19" si="7">M6+365</f>
        <v>43190</v>
      </c>
      <c r="N7" s="78">
        <v>8.3016157989228194</v>
      </c>
      <c r="O7" s="47">
        <f t="shared" ref="O7:O19" si="8">IFERROR(N7/N6-1,0)</f>
        <v>-0.23650884469534705</v>
      </c>
    </row>
    <row r="8" spans="2:15" x14ac:dyDescent="0.3">
      <c r="B8" s="17">
        <f t="shared" si="0"/>
        <v>4</v>
      </c>
      <c r="C8" s="45">
        <f t="shared" si="1"/>
        <v>43555</v>
      </c>
      <c r="D8" s="78">
        <v>1643.2</v>
      </c>
      <c r="E8" s="47">
        <f t="shared" si="2"/>
        <v>0.16673056987460755</v>
      </c>
      <c r="G8" s="17">
        <f t="shared" ref="G8" si="9">G7+1</f>
        <v>4</v>
      </c>
      <c r="H8" s="45">
        <f t="shared" si="4"/>
        <v>43555</v>
      </c>
      <c r="I8" s="78">
        <v>347.28000000000009</v>
      </c>
      <c r="J8" s="47">
        <f t="shared" si="5"/>
        <v>0.36504068236311338</v>
      </c>
      <c r="L8" s="17">
        <f t="shared" si="6"/>
        <v>4</v>
      </c>
      <c r="M8" s="45">
        <f t="shared" si="7"/>
        <v>43555</v>
      </c>
      <c r="N8" s="78">
        <v>12.085358255451718</v>
      </c>
      <c r="O8" s="47">
        <f t="shared" si="8"/>
        <v>0.45578385559831136</v>
      </c>
    </row>
    <row r="9" spans="2:15" x14ac:dyDescent="0.3">
      <c r="B9" s="17">
        <f t="shared" si="0"/>
        <v>5</v>
      </c>
      <c r="C9" s="45">
        <f t="shared" si="1"/>
        <v>43920</v>
      </c>
      <c r="D9" s="78">
        <v>1774.73</v>
      </c>
      <c r="E9" s="47">
        <f t="shared" si="2"/>
        <v>8.0045034079844202E-2</v>
      </c>
      <c r="G9" s="17">
        <f t="shared" ref="G9" si="10">G8+1</f>
        <v>5</v>
      </c>
      <c r="H9" s="45">
        <f t="shared" si="4"/>
        <v>43920</v>
      </c>
      <c r="I9" s="78">
        <v>418.24000000000007</v>
      </c>
      <c r="J9" s="47">
        <f t="shared" si="5"/>
        <v>0.20433079935498721</v>
      </c>
      <c r="L9" s="17">
        <f t="shared" si="6"/>
        <v>5</v>
      </c>
      <c r="M9" s="45">
        <f t="shared" si="7"/>
        <v>43920</v>
      </c>
      <c r="N9" s="78">
        <v>17.619016817593796</v>
      </c>
      <c r="O9" s="47">
        <f t="shared" si="8"/>
        <v>0.45788121834500339</v>
      </c>
    </row>
    <row r="10" spans="2:15" x14ac:dyDescent="0.3">
      <c r="B10" s="17">
        <f t="shared" si="0"/>
        <v>6</v>
      </c>
      <c r="C10" s="45">
        <f t="shared" si="1"/>
        <v>44285</v>
      </c>
      <c r="D10" s="78">
        <v>2042.52</v>
      </c>
      <c r="E10" s="47">
        <f t="shared" si="2"/>
        <v>0.15089055800037188</v>
      </c>
      <c r="G10" s="17">
        <f t="shared" ref="G10" si="11">G9+1</f>
        <v>6</v>
      </c>
      <c r="H10" s="45">
        <f t="shared" si="4"/>
        <v>44285</v>
      </c>
      <c r="I10" s="78">
        <v>672.79</v>
      </c>
      <c r="J10" s="47">
        <f t="shared" si="5"/>
        <v>0.60862184391736762</v>
      </c>
      <c r="L10" s="17">
        <f t="shared" si="6"/>
        <v>6</v>
      </c>
      <c r="M10" s="45">
        <f t="shared" si="7"/>
        <v>44285</v>
      </c>
      <c r="N10" s="78">
        <v>29.011642949547216</v>
      </c>
      <c r="O10" s="47">
        <f t="shared" si="8"/>
        <v>0.64660964058886083</v>
      </c>
    </row>
    <row r="11" spans="2:15" x14ac:dyDescent="0.3">
      <c r="B11" s="17">
        <f t="shared" si="0"/>
        <v>7</v>
      </c>
      <c r="C11" s="45">
        <f t="shared" si="1"/>
        <v>44650</v>
      </c>
      <c r="D11" s="78">
        <v>2424.2399999999998</v>
      </c>
      <c r="E11" s="47">
        <f t="shared" si="2"/>
        <v>0.18688678691028726</v>
      </c>
      <c r="G11" s="17">
        <f t="shared" ref="G11" si="12">G10+1</f>
        <v>7</v>
      </c>
      <c r="H11" s="45">
        <f t="shared" si="4"/>
        <v>44650</v>
      </c>
      <c r="I11" s="78">
        <v>582.67999999999995</v>
      </c>
      <c r="J11" s="47">
        <f t="shared" si="5"/>
        <v>-0.13393480878134334</v>
      </c>
      <c r="L11" s="17">
        <f t="shared" si="6"/>
        <v>7</v>
      </c>
      <c r="M11" s="45">
        <f t="shared" si="7"/>
        <v>44650</v>
      </c>
      <c r="N11" s="78">
        <v>24.970245795601549</v>
      </c>
      <c r="O11" s="47">
        <f t="shared" si="8"/>
        <v>-0.13930259520199773</v>
      </c>
    </row>
    <row r="12" spans="2:15" x14ac:dyDescent="0.3">
      <c r="B12" s="17">
        <f t="shared" si="0"/>
        <v>8</v>
      </c>
      <c r="C12" s="45">
        <f t="shared" si="1"/>
        <v>45015</v>
      </c>
      <c r="D12" s="78">
        <v>3149.28</v>
      </c>
      <c r="E12" s="47">
        <f t="shared" si="2"/>
        <v>0.2990792990792992</v>
      </c>
      <c r="G12" s="17">
        <f t="shared" ref="G12" si="13">G11+1</f>
        <v>8</v>
      </c>
      <c r="H12" s="45">
        <f t="shared" si="4"/>
        <v>45015</v>
      </c>
      <c r="I12" s="78">
        <v>705.69000000000017</v>
      </c>
      <c r="J12" s="47">
        <f t="shared" si="5"/>
        <v>0.21111072973158551</v>
      </c>
      <c r="L12" s="17">
        <f t="shared" si="6"/>
        <v>8</v>
      </c>
      <c r="M12" s="45">
        <f t="shared" si="7"/>
        <v>45015</v>
      </c>
      <c r="N12" s="78">
        <v>26.485788113695104</v>
      </c>
      <c r="O12" s="47">
        <f t="shared" si="8"/>
        <v>6.0693928706160971E-2</v>
      </c>
    </row>
    <row r="13" spans="2:15" x14ac:dyDescent="0.3">
      <c r="B13" s="17">
        <f t="shared" si="0"/>
        <v>9</v>
      </c>
      <c r="C13" s="45">
        <f t="shared" si="1"/>
        <v>45380</v>
      </c>
      <c r="D13" s="78">
        <v>3484.18</v>
      </c>
      <c r="E13" s="47">
        <f t="shared" si="2"/>
        <v>0.10634176700706188</v>
      </c>
      <c r="G13" s="17">
        <f t="shared" ref="G13" si="14">G12+1</f>
        <v>9</v>
      </c>
      <c r="H13" s="45">
        <f t="shared" si="4"/>
        <v>45380</v>
      </c>
      <c r="I13" s="78">
        <v>934.15999999999963</v>
      </c>
      <c r="J13" s="47">
        <f t="shared" si="5"/>
        <v>0.32375405631367804</v>
      </c>
      <c r="L13" s="17">
        <f t="shared" si="6"/>
        <v>9</v>
      </c>
      <c r="M13" s="45">
        <f t="shared" si="7"/>
        <v>45380</v>
      </c>
      <c r="N13" s="78">
        <v>35.607603092783485</v>
      </c>
      <c r="O13" s="47">
        <f t="shared" si="8"/>
        <v>0.34440413628362943</v>
      </c>
    </row>
    <row r="14" spans="2:15" x14ac:dyDescent="0.3">
      <c r="B14" s="17">
        <f t="shared" si="0"/>
        <v>10</v>
      </c>
      <c r="C14" s="45">
        <f t="shared" si="1"/>
        <v>45745</v>
      </c>
      <c r="D14" s="78">
        <v>3917.99</v>
      </c>
      <c r="E14" s="47">
        <f t="shared" si="2"/>
        <v>0.12450849267259434</v>
      </c>
      <c r="G14" s="17">
        <f t="shared" ref="G14" si="15">G13+1</f>
        <v>10</v>
      </c>
      <c r="H14" s="45">
        <f t="shared" si="4"/>
        <v>45745</v>
      </c>
      <c r="I14" s="78">
        <v>1070.1599999999994</v>
      </c>
      <c r="J14" s="47">
        <f t="shared" si="5"/>
        <v>0.14558533870000834</v>
      </c>
      <c r="L14" s="17">
        <f t="shared" si="6"/>
        <v>10</v>
      </c>
      <c r="M14" s="45">
        <f t="shared" si="7"/>
        <v>45745</v>
      </c>
      <c r="N14" s="78">
        <v>42.362877328195211</v>
      </c>
      <c r="O14" s="47">
        <f t="shared" si="8"/>
        <v>0.18971437694947801</v>
      </c>
    </row>
    <row r="15" spans="2:15" x14ac:dyDescent="0.3">
      <c r="B15" s="48">
        <f t="shared" si="0"/>
        <v>11</v>
      </c>
      <c r="C15" s="49">
        <f t="shared" si="1"/>
        <v>46110</v>
      </c>
      <c r="D15" s="50">
        <f>FORECAST(B15,$D$5:$D$14,$B$5:$B$14)</f>
        <v>3928.6939999999995</v>
      </c>
      <c r="E15" s="51">
        <f t="shared" si="2"/>
        <v>2.7320130985530877E-3</v>
      </c>
      <c r="G15" s="48">
        <f t="shared" ref="G15" si="16">G14+1</f>
        <v>11</v>
      </c>
      <c r="H15" s="49">
        <f t="shared" si="4"/>
        <v>46110</v>
      </c>
      <c r="I15" s="50">
        <f>FORECAST(G15,$I$5:$I$14,$G$5:$G$14)</f>
        <v>1054.3059999999996</v>
      </c>
      <c r="J15" s="51">
        <f t="shared" si="5"/>
        <v>-1.4814607161545812E-2</v>
      </c>
      <c r="L15" s="48">
        <f t="shared" si="6"/>
        <v>11</v>
      </c>
      <c r="M15" s="49">
        <f t="shared" si="7"/>
        <v>46110</v>
      </c>
      <c r="N15" s="90">
        <f>FORECAST(L15,$N$5:$N$14,$L$5:$L$14)</f>
        <v>41.992850475722364</v>
      </c>
      <c r="O15" s="51">
        <f t="shared" si="8"/>
        <v>-8.7346959368732602E-3</v>
      </c>
    </row>
    <row r="16" spans="2:15" x14ac:dyDescent="0.3">
      <c r="B16" s="48">
        <f t="shared" si="0"/>
        <v>12</v>
      </c>
      <c r="C16" s="49">
        <f t="shared" si="1"/>
        <v>46475</v>
      </c>
      <c r="D16" s="50">
        <f t="shared" ref="D16:D19" si="17">FORECAST(B16,$D$5:$D$14,$B$5:$B$14)</f>
        <v>4235.7443636363632</v>
      </c>
      <c r="E16" s="51">
        <f t="shared" si="2"/>
        <v>7.8155835918084726E-2</v>
      </c>
      <c r="G16" s="48">
        <f t="shared" ref="G16" si="18">G15+1</f>
        <v>12</v>
      </c>
      <c r="H16" s="49">
        <f t="shared" si="4"/>
        <v>46475</v>
      </c>
      <c r="I16" s="50">
        <f t="shared" ref="I16:I19" si="19">FORECAST(G16,$I$5:$I$14,$G$5:$G$14)</f>
        <v>1145.4152727272722</v>
      </c>
      <c r="J16" s="51">
        <f t="shared" si="5"/>
        <v>8.6416346608359174E-2</v>
      </c>
      <c r="L16" s="48">
        <f t="shared" si="6"/>
        <v>12</v>
      </c>
      <c r="M16" s="49">
        <f t="shared" si="7"/>
        <v>46475</v>
      </c>
      <c r="N16" s="90">
        <f>FORECAST(L16,$N$5:$N$14,$L$5:$L$14)</f>
        <v>45.684139806798839</v>
      </c>
      <c r="O16" s="51">
        <f t="shared" si="8"/>
        <v>8.790280462648159E-2</v>
      </c>
    </row>
    <row r="17" spans="2:15" x14ac:dyDescent="0.3">
      <c r="B17" s="48">
        <f t="shared" si="0"/>
        <v>13</v>
      </c>
      <c r="C17" s="49">
        <f t="shared" si="1"/>
        <v>46840</v>
      </c>
      <c r="D17" s="50">
        <f t="shared" si="17"/>
        <v>4542.794727272727</v>
      </c>
      <c r="E17" s="51">
        <f t="shared" si="2"/>
        <v>7.249029622098413E-2</v>
      </c>
      <c r="G17" s="48">
        <f t="shared" ref="G17" si="20">G16+1</f>
        <v>13</v>
      </c>
      <c r="H17" s="49">
        <f t="shared" si="4"/>
        <v>46840</v>
      </c>
      <c r="I17" s="50">
        <f t="shared" si="19"/>
        <v>1236.5245454545452</v>
      </c>
      <c r="J17" s="51">
        <f t="shared" si="5"/>
        <v>7.9542568443616846E-2</v>
      </c>
      <c r="L17" s="48">
        <f t="shared" si="6"/>
        <v>13</v>
      </c>
      <c r="M17" s="49">
        <f t="shared" si="7"/>
        <v>46840</v>
      </c>
      <c r="N17" s="90">
        <f t="shared" ref="N17:N19" si="21">FORECAST(L17,$N$5:$N$14,$L$5:$L$14)</f>
        <v>49.375429137875315</v>
      </c>
      <c r="O17" s="51">
        <f t="shared" si="8"/>
        <v>8.080023716517748E-2</v>
      </c>
    </row>
    <row r="18" spans="2:15" x14ac:dyDescent="0.3">
      <c r="B18" s="48">
        <f t="shared" si="0"/>
        <v>14</v>
      </c>
      <c r="C18" s="49">
        <f t="shared" si="1"/>
        <v>47205</v>
      </c>
      <c r="D18" s="50">
        <f t="shared" si="17"/>
        <v>4849.8450909090907</v>
      </c>
      <c r="E18" s="51">
        <f t="shared" si="2"/>
        <v>6.7590631333831253E-2</v>
      </c>
      <c r="G18" s="48">
        <f t="shared" ref="G18" si="22">G17+1</f>
        <v>14</v>
      </c>
      <c r="H18" s="49">
        <f t="shared" si="4"/>
        <v>47205</v>
      </c>
      <c r="I18" s="50">
        <f t="shared" si="19"/>
        <v>1327.6338181818178</v>
      </c>
      <c r="J18" s="51">
        <f t="shared" si="5"/>
        <v>7.3681734068433702E-2</v>
      </c>
      <c r="L18" s="48">
        <f t="shared" si="6"/>
        <v>14</v>
      </c>
      <c r="M18" s="49">
        <f t="shared" si="7"/>
        <v>47205</v>
      </c>
      <c r="N18" s="90">
        <f t="shared" si="21"/>
        <v>53.066718468951791</v>
      </c>
      <c r="O18" s="51">
        <f t="shared" si="8"/>
        <v>7.475964048371031E-2</v>
      </c>
    </row>
    <row r="19" spans="2:15" x14ac:dyDescent="0.3">
      <c r="B19" s="48">
        <f t="shared" si="0"/>
        <v>15</v>
      </c>
      <c r="C19" s="49">
        <f t="shared" si="1"/>
        <v>47570</v>
      </c>
      <c r="D19" s="50">
        <f t="shared" si="17"/>
        <v>5156.8954545454544</v>
      </c>
      <c r="E19" s="51">
        <f t="shared" si="2"/>
        <v>6.3311375493605215E-2</v>
      </c>
      <c r="G19" s="48">
        <f t="shared" ref="G19" si="23">G18+1</f>
        <v>15</v>
      </c>
      <c r="H19" s="49">
        <f t="shared" si="4"/>
        <v>47570</v>
      </c>
      <c r="I19" s="50">
        <f t="shared" si="19"/>
        <v>1418.7430909090904</v>
      </c>
      <c r="J19" s="51">
        <f t="shared" si="5"/>
        <v>6.8625302760098261E-2</v>
      </c>
      <c r="L19" s="48">
        <f t="shared" si="6"/>
        <v>15</v>
      </c>
      <c r="M19" s="49">
        <f t="shared" si="7"/>
        <v>47570</v>
      </c>
      <c r="N19" s="90">
        <f t="shared" si="21"/>
        <v>56.758007800028267</v>
      </c>
      <c r="O19" s="51">
        <f t="shared" si="8"/>
        <v>6.9559404417218085E-2</v>
      </c>
    </row>
  </sheetData>
  <mergeCells count="3">
    <mergeCell ref="B3:E3"/>
    <mergeCell ref="G3:J3"/>
    <mergeCell ref="L3:O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4C45-08B2-4341-A27B-37301DEBAAE9}">
  <sheetPr>
    <tabColor theme="7" tint="-0.499984740745262"/>
  </sheetPr>
  <dimension ref="A1:T40"/>
  <sheetViews>
    <sheetView showGridLines="0" zoomScale="116" zoomScaleNormal="86" workbookViewId="0">
      <selection activeCell="B18" sqref="B2:E18"/>
    </sheetView>
  </sheetViews>
  <sheetFormatPr defaultRowHeight="14.4" x14ac:dyDescent="0.3"/>
  <cols>
    <col min="1" max="1" width="1.88671875" customWidth="1"/>
    <col min="2" max="2" width="11.109375" style="17" bestFit="1" customWidth="1"/>
    <col min="3" max="4" width="12.77734375" style="22" customWidth="1"/>
    <col min="5" max="5" width="19.44140625" style="22" customWidth="1"/>
    <col min="6" max="6" width="2.77734375" style="22" customWidth="1"/>
    <col min="7" max="7" width="10.6640625" style="22" bestFit="1" customWidth="1"/>
    <col min="8" max="8" width="12.44140625" style="22" bestFit="1" customWidth="1"/>
    <col min="9" max="9" width="13.6640625" style="22" bestFit="1" customWidth="1"/>
    <col min="10" max="11" width="12.44140625" style="22" bestFit="1" customWidth="1"/>
    <col min="12" max="12" width="13" style="22" bestFit="1" customWidth="1"/>
    <col min="13" max="14" width="12.77734375" style="22" customWidth="1"/>
    <col min="15" max="15" width="20.6640625" style="22" customWidth="1"/>
    <col min="16" max="16" width="2.77734375" style="22" customWidth="1"/>
    <col min="17" max="17" width="11.109375" style="22" bestFit="1" customWidth="1"/>
    <col min="18" max="18" width="12.77734375" style="22" customWidth="1"/>
    <col min="19" max="19" width="8.88671875" style="22"/>
    <col min="20" max="20" width="20.44140625" style="22" customWidth="1"/>
    <col min="21" max="16384" width="8.88671875" style="22"/>
  </cols>
  <sheetData>
    <row r="1" spans="2:20" x14ac:dyDescent="0.3">
      <c r="B1"/>
    </row>
    <row r="2" spans="2:20" x14ac:dyDescent="0.3">
      <c r="B2" s="93" t="str">
        <f>'Data Sheet'!B1&amp;" - Sales Forecasting"</f>
        <v>J B CHEMICALS &amp; PHARMACEUTICALS LTD - Sales Forecasting</v>
      </c>
      <c r="C2" s="93"/>
      <c r="D2" s="93"/>
      <c r="E2" s="93"/>
      <c r="F2" s="82"/>
      <c r="G2" s="94"/>
      <c r="H2" s="94"/>
      <c r="I2" s="94"/>
      <c r="J2" s="94"/>
      <c r="K2"/>
      <c r="L2" s="93" t="str">
        <f>'Data Sheet'!B1&amp;" - EBITDA Forecasting"</f>
        <v>J B CHEMICALS &amp; PHARMACEUTICALS LTD - EBITDA Forecasting</v>
      </c>
      <c r="M2" s="93"/>
      <c r="N2" s="93"/>
      <c r="O2" s="93"/>
      <c r="P2"/>
      <c r="Q2" s="93" t="str">
        <f>'Data Sheet'!B1&amp;" - EPS Forecasting"</f>
        <v>J B CHEMICALS &amp; PHARMACEUTICALS LTD - EPS Forecasting</v>
      </c>
      <c r="R2" s="93"/>
      <c r="S2" s="93"/>
      <c r="T2" s="93"/>
    </row>
    <row r="3" spans="2:20" x14ac:dyDescent="0.3">
      <c r="B3" s="43" t="s">
        <v>132</v>
      </c>
      <c r="C3" s="44" t="s">
        <v>133</v>
      </c>
      <c r="D3" s="44" t="s">
        <v>6</v>
      </c>
      <c r="E3" s="44" t="s">
        <v>22</v>
      </c>
      <c r="F3" s="83"/>
      <c r="G3" s="85"/>
      <c r="H3" s="83"/>
      <c r="I3" s="83"/>
      <c r="J3" s="83"/>
      <c r="K3"/>
      <c r="L3" s="43" t="s">
        <v>132</v>
      </c>
      <c r="M3" s="44" t="s">
        <v>133</v>
      </c>
      <c r="N3" s="44" t="s">
        <v>6</v>
      </c>
      <c r="O3" s="44" t="s">
        <v>22</v>
      </c>
      <c r="P3"/>
      <c r="Q3" s="43" t="s">
        <v>132</v>
      </c>
      <c r="R3" s="44" t="s">
        <v>133</v>
      </c>
      <c r="S3" s="44" t="s">
        <v>6</v>
      </c>
      <c r="T3" s="44" t="s">
        <v>22</v>
      </c>
    </row>
    <row r="4" spans="2:20" x14ac:dyDescent="0.3">
      <c r="B4" s="17">
        <v>1</v>
      </c>
      <c r="C4" s="45">
        <f>'[1]Data Sheet'!$B$16</f>
        <v>42460</v>
      </c>
      <c r="D4" s="78">
        <v>1210.3599999999999</v>
      </c>
      <c r="E4"/>
      <c r="F4"/>
      <c r="G4" s="17"/>
      <c r="H4" s="45"/>
      <c r="I4" s="81"/>
      <c r="J4"/>
      <c r="K4"/>
      <c r="L4" s="17">
        <v>1</v>
      </c>
      <c r="M4" s="45">
        <f>'[1]Data Sheet'!$B$16</f>
        <v>42460</v>
      </c>
      <c r="N4" s="46">
        <f t="array" ref="N4:N13">TRANSPOSE([1]HistoricalFS!C18:L18)</f>
        <v>2105.2299999999977</v>
      </c>
      <c r="O4"/>
      <c r="P4"/>
      <c r="Q4" s="17">
        <v>1</v>
      </c>
      <c r="R4" s="45">
        <f>'[1]Data Sheet'!$B$16</f>
        <v>42460</v>
      </c>
      <c r="S4" s="46">
        <f t="array" ref="S4:S13">TRANSPOSE([1]HistoricalFS!C38:L38)</f>
        <v>-12.791614286770695</v>
      </c>
      <c r="T4"/>
    </row>
    <row r="5" spans="2:20" x14ac:dyDescent="0.3">
      <c r="B5" s="17">
        <f>B4+1</f>
        <v>2</v>
      </c>
      <c r="C5" s="45">
        <f>C4+365</f>
        <v>42825</v>
      </c>
      <c r="D5" s="78">
        <v>1344.29</v>
      </c>
      <c r="E5" s="47">
        <f>IFERROR(D5/D4-1,0)</f>
        <v>0.11065302885092043</v>
      </c>
      <c r="F5" s="84"/>
      <c r="G5" s="17"/>
      <c r="H5" s="45"/>
      <c r="I5" s="81"/>
      <c r="J5" s="84"/>
      <c r="K5"/>
      <c r="L5" s="17">
        <f>L4+1</f>
        <v>2</v>
      </c>
      <c r="M5" s="45">
        <f>M4+365</f>
        <v>42825</v>
      </c>
      <c r="N5" s="46">
        <v>5473.2699999999986</v>
      </c>
      <c r="O5" s="47">
        <f>IFERROR(N5/N4-1,0)</f>
        <v>1.5998441975461133</v>
      </c>
      <c r="P5"/>
      <c r="Q5" s="17">
        <f>Q4+1</f>
        <v>2</v>
      </c>
      <c r="R5" s="45">
        <f>R4+365</f>
        <v>42825</v>
      </c>
      <c r="S5" s="46">
        <v>-0.73107068914522899</v>
      </c>
      <c r="T5" s="47">
        <f t="shared" ref="T5:T18" si="0">IFERROR(S5/S4-1,0)</f>
        <v>-0.9428476599782003</v>
      </c>
    </row>
    <row r="6" spans="2:20" x14ac:dyDescent="0.3">
      <c r="B6" s="17">
        <f t="shared" ref="B6:B18" si="1">B5+1</f>
        <v>3</v>
      </c>
      <c r="C6" s="45">
        <f t="shared" ref="C6:C18" si="2">C5+365</f>
        <v>43190</v>
      </c>
      <c r="D6" s="78">
        <v>1408.38</v>
      </c>
      <c r="E6" s="47">
        <f t="shared" ref="E6:E18" si="3">IFERROR(D6/D5-1,0)</f>
        <v>4.7675724732014757E-2</v>
      </c>
      <c r="F6" s="84"/>
      <c r="G6" s="17"/>
      <c r="H6" s="45"/>
      <c r="I6" s="81"/>
      <c r="J6" s="84"/>
      <c r="K6"/>
      <c r="L6" s="17">
        <f t="shared" ref="L6:L18" si="4">L5+1</f>
        <v>3</v>
      </c>
      <c r="M6" s="45">
        <f t="shared" ref="M6:M18" si="5">M5+365</f>
        <v>43190</v>
      </c>
      <c r="N6" s="46">
        <v>2294.8300000000008</v>
      </c>
      <c r="O6" s="47">
        <f t="shared" ref="O6:O18" si="6">IFERROR(N6/N5-1,0)</f>
        <v>-0.58072048336734694</v>
      </c>
      <c r="P6"/>
      <c r="Q6" s="17">
        <f t="shared" ref="Q6:Q18" si="7">Q5+1</f>
        <v>3</v>
      </c>
      <c r="R6" s="45">
        <f t="shared" ref="R6:R18" si="8">R5+365</f>
        <v>43190</v>
      </c>
      <c r="S6" s="46">
        <v>-14.695319432120668</v>
      </c>
      <c r="T6" s="47">
        <f t="shared" si="0"/>
        <v>19.101092343481174</v>
      </c>
    </row>
    <row r="7" spans="2:20" x14ac:dyDescent="0.3">
      <c r="B7" s="17">
        <f t="shared" si="1"/>
        <v>4</v>
      </c>
      <c r="C7" s="45">
        <f t="shared" si="2"/>
        <v>43555</v>
      </c>
      <c r="D7" s="78">
        <v>1643.2</v>
      </c>
      <c r="E7" s="47">
        <f t="shared" si="3"/>
        <v>0.16673056987460755</v>
      </c>
      <c r="F7" s="84"/>
      <c r="G7" s="17"/>
      <c r="H7" s="45"/>
      <c r="I7" s="81"/>
      <c r="J7" s="84"/>
      <c r="K7"/>
      <c r="L7" s="17">
        <f t="shared" si="4"/>
        <v>4</v>
      </c>
      <c r="M7" s="45">
        <f t="shared" si="5"/>
        <v>43555</v>
      </c>
      <c r="N7" s="46">
        <v>3069.9100000000035</v>
      </c>
      <c r="O7" s="47">
        <f t="shared" si="6"/>
        <v>0.33775050875228341</v>
      </c>
      <c r="P7"/>
      <c r="Q7" s="17">
        <f t="shared" si="7"/>
        <v>4</v>
      </c>
      <c r="R7" s="45">
        <f t="shared" si="8"/>
        <v>43555</v>
      </c>
      <c r="S7" s="46">
        <v>-16.935854776693272</v>
      </c>
      <c r="T7" s="47">
        <f t="shared" si="0"/>
        <v>0.15246591643835239</v>
      </c>
    </row>
    <row r="8" spans="2:20" x14ac:dyDescent="0.3">
      <c r="B8" s="17">
        <f t="shared" si="1"/>
        <v>5</v>
      </c>
      <c r="C8" s="45">
        <f t="shared" si="2"/>
        <v>43920</v>
      </c>
      <c r="D8" s="78">
        <v>1774.73</v>
      </c>
      <c r="E8" s="47">
        <f t="shared" si="3"/>
        <v>8.0045034079844202E-2</v>
      </c>
      <c r="F8" s="84"/>
      <c r="G8" s="17"/>
      <c r="H8" s="45"/>
      <c r="I8" s="81"/>
      <c r="J8" s="84"/>
      <c r="K8"/>
      <c r="L8" s="17">
        <f t="shared" si="4"/>
        <v>5</v>
      </c>
      <c r="M8" s="45">
        <f t="shared" si="5"/>
        <v>43920</v>
      </c>
      <c r="N8" s="46">
        <v>6805.07</v>
      </c>
      <c r="O8" s="47">
        <f t="shared" si="6"/>
        <v>1.2167001638484489</v>
      </c>
      <c r="P8"/>
      <c r="Q8" s="17">
        <f t="shared" si="7"/>
        <v>5</v>
      </c>
      <c r="R8" s="45">
        <f t="shared" si="8"/>
        <v>43920</v>
      </c>
      <c r="S8" s="46">
        <v>-3.5629621413782879</v>
      </c>
      <c r="T8" s="47">
        <f t="shared" si="0"/>
        <v>-0.78962017634435833</v>
      </c>
    </row>
    <row r="9" spans="2:20" x14ac:dyDescent="0.3">
      <c r="B9" s="17">
        <f t="shared" si="1"/>
        <v>6</v>
      </c>
      <c r="C9" s="45">
        <f t="shared" si="2"/>
        <v>44285</v>
      </c>
      <c r="D9" s="78">
        <v>2042.52</v>
      </c>
      <c r="E9" s="47">
        <f t="shared" si="3"/>
        <v>0.15089055800037188</v>
      </c>
      <c r="F9" s="84"/>
      <c r="G9" s="17"/>
      <c r="H9" s="45"/>
      <c r="I9" s="81"/>
      <c r="J9" s="84"/>
      <c r="K9"/>
      <c r="L9" s="17">
        <f t="shared" si="4"/>
        <v>6</v>
      </c>
      <c r="M9" s="45">
        <f t="shared" si="5"/>
        <v>44285</v>
      </c>
      <c r="N9" s="46">
        <v>6920.8999999999978</v>
      </c>
      <c r="O9" s="47">
        <f t="shared" si="6"/>
        <v>1.7021132773064496E-2</v>
      </c>
      <c r="P9"/>
      <c r="Q9" s="17">
        <f t="shared" si="7"/>
        <v>6</v>
      </c>
      <c r="R9" s="45">
        <f t="shared" si="8"/>
        <v>44285</v>
      </c>
      <c r="S9" s="46">
        <v>-1.0525146308640883</v>
      </c>
      <c r="T9" s="47">
        <f t="shared" si="0"/>
        <v>-0.7045956176068332</v>
      </c>
    </row>
    <row r="10" spans="2:20" x14ac:dyDescent="0.3">
      <c r="B10" s="17">
        <f t="shared" si="1"/>
        <v>7</v>
      </c>
      <c r="C10" s="45">
        <f t="shared" si="2"/>
        <v>44650</v>
      </c>
      <c r="D10" s="78">
        <v>2424.2399999999998</v>
      </c>
      <c r="E10" s="47">
        <f t="shared" si="3"/>
        <v>0.18688678691028726</v>
      </c>
      <c r="F10" s="84"/>
      <c r="G10" s="17"/>
      <c r="H10" s="45"/>
      <c r="I10" s="81"/>
      <c r="J10" s="84"/>
      <c r="K10"/>
      <c r="L10" s="17">
        <f t="shared" si="4"/>
        <v>7</v>
      </c>
      <c r="M10" s="45">
        <f t="shared" si="5"/>
        <v>44650</v>
      </c>
      <c r="N10" s="46">
        <v>7030.8900000000031</v>
      </c>
      <c r="O10" s="47">
        <f t="shared" si="6"/>
        <v>1.5892441734457252E-2</v>
      </c>
      <c r="P10"/>
      <c r="Q10" s="17">
        <f t="shared" si="7"/>
        <v>7</v>
      </c>
      <c r="R10" s="45">
        <f t="shared" si="8"/>
        <v>44650</v>
      </c>
      <c r="S10" s="46">
        <v>-1.0324226207241771</v>
      </c>
      <c r="T10" s="47">
        <f t="shared" si="0"/>
        <v>-1.9089530492717333E-2</v>
      </c>
    </row>
    <row r="11" spans="2:20" x14ac:dyDescent="0.3">
      <c r="B11" s="17">
        <f t="shared" si="1"/>
        <v>8</v>
      </c>
      <c r="C11" s="45">
        <f t="shared" si="2"/>
        <v>45015</v>
      </c>
      <c r="D11" s="78">
        <v>3149.28</v>
      </c>
      <c r="E11" s="47">
        <f t="shared" si="3"/>
        <v>0.2990792990792992</v>
      </c>
      <c r="F11" s="84"/>
      <c r="G11" s="17"/>
      <c r="H11" s="45"/>
      <c r="I11" s="81"/>
      <c r="J11" s="84"/>
      <c r="K11"/>
      <c r="L11" s="17">
        <f t="shared" si="4"/>
        <v>8</v>
      </c>
      <c r="M11" s="45">
        <f t="shared" si="5"/>
        <v>45015</v>
      </c>
      <c r="N11" s="46">
        <v>7727.7600000000048</v>
      </c>
      <c r="O11" s="47">
        <f t="shared" si="6"/>
        <v>9.9115474712305529E-2</v>
      </c>
      <c r="P11"/>
      <c r="Q11" s="17">
        <f t="shared" si="7"/>
        <v>8</v>
      </c>
      <c r="R11" s="45">
        <f t="shared" si="8"/>
        <v>45015</v>
      </c>
      <c r="S11" s="46">
        <v>-5.4155165399179879</v>
      </c>
      <c r="T11" s="47">
        <f t="shared" si="0"/>
        <v>4.2454454515141835</v>
      </c>
    </row>
    <row r="12" spans="2:20" x14ac:dyDescent="0.3">
      <c r="B12" s="17">
        <f t="shared" si="1"/>
        <v>9</v>
      </c>
      <c r="C12" s="45">
        <f t="shared" si="2"/>
        <v>45380</v>
      </c>
      <c r="D12" s="78">
        <v>3484.18</v>
      </c>
      <c r="E12" s="47">
        <f t="shared" si="3"/>
        <v>0.10634176700706188</v>
      </c>
      <c r="F12" s="84"/>
      <c r="G12" s="17"/>
      <c r="H12" s="45"/>
      <c r="I12" s="81"/>
      <c r="J12" s="84"/>
      <c r="K12"/>
      <c r="L12" s="17">
        <f t="shared" si="4"/>
        <v>9</v>
      </c>
      <c r="M12" s="45">
        <f t="shared" si="5"/>
        <v>45380</v>
      </c>
      <c r="N12" s="46">
        <v>10735.280000000004</v>
      </c>
      <c r="O12" s="47">
        <f t="shared" si="6"/>
        <v>0.38918392910752897</v>
      </c>
      <c r="P12"/>
      <c r="Q12" s="17">
        <f t="shared" si="7"/>
        <v>9</v>
      </c>
      <c r="R12" s="45">
        <f t="shared" si="8"/>
        <v>45380</v>
      </c>
      <c r="S12" s="46">
        <v>2.7032516508622169</v>
      </c>
      <c r="T12" s="47">
        <f t="shared" si="0"/>
        <v>-1.4991678320870117</v>
      </c>
    </row>
    <row r="13" spans="2:20" x14ac:dyDescent="0.3">
      <c r="B13" s="17">
        <f t="shared" si="1"/>
        <v>10</v>
      </c>
      <c r="C13" s="45">
        <f t="shared" si="2"/>
        <v>45745</v>
      </c>
      <c r="D13" s="78">
        <v>3917.99</v>
      </c>
      <c r="E13" s="47">
        <f t="shared" si="3"/>
        <v>0.12450849267259434</v>
      </c>
      <c r="F13" s="84"/>
      <c r="G13" s="17"/>
      <c r="H13" s="45"/>
      <c r="I13" s="81"/>
      <c r="J13" s="84"/>
      <c r="K13"/>
      <c r="L13" s="17">
        <f t="shared" si="4"/>
        <v>10</v>
      </c>
      <c r="M13" s="45">
        <f t="shared" si="5"/>
        <v>45745</v>
      </c>
      <c r="N13" s="46">
        <v>12165.589999999997</v>
      </c>
      <c r="O13" s="47">
        <f t="shared" si="6"/>
        <v>0.13323453137691721</v>
      </c>
      <c r="P13"/>
      <c r="Q13" s="17">
        <f t="shared" si="7"/>
        <v>10</v>
      </c>
      <c r="R13" s="45">
        <f t="shared" si="8"/>
        <v>45745</v>
      </c>
      <c r="S13" s="46">
        <v>5.639658248051818</v>
      </c>
      <c r="T13" s="47">
        <f t="shared" si="0"/>
        <v>1.0862498118712027</v>
      </c>
    </row>
    <row r="14" spans="2:20" x14ac:dyDescent="0.3">
      <c r="B14" s="48">
        <f t="shared" si="1"/>
        <v>11</v>
      </c>
      <c r="C14" s="49">
        <f t="shared" si="2"/>
        <v>46110</v>
      </c>
      <c r="D14" s="50">
        <f>FORECAST(B14,$D$4:$D$13,$B$4:$B$13)</f>
        <v>3928.6939999999995</v>
      </c>
      <c r="E14" s="51">
        <f t="shared" si="3"/>
        <v>2.7320130985530877E-3</v>
      </c>
      <c r="F14" s="84"/>
      <c r="G14" s="17"/>
      <c r="H14" s="86"/>
      <c r="I14" s="46"/>
      <c r="J14" s="84"/>
      <c r="K14"/>
      <c r="L14" s="48">
        <f t="shared" si="4"/>
        <v>11</v>
      </c>
      <c r="M14" s="49">
        <f t="shared" si="5"/>
        <v>46110</v>
      </c>
      <c r="N14" s="50">
        <f>FORECAST(L14,$N$4:$N$13,$L$4:$L$13)</f>
        <v>11984.23066666667</v>
      </c>
      <c r="O14" s="51">
        <f t="shared" si="6"/>
        <v>-1.4907565792807942E-2</v>
      </c>
      <c r="P14"/>
      <c r="Q14" s="48">
        <f t="shared" si="7"/>
        <v>11</v>
      </c>
      <c r="R14" s="49">
        <f t="shared" si="8"/>
        <v>46110</v>
      </c>
      <c r="S14" s="50">
        <f>FORECAST(Q14,S4:S13,Q4:Q13)</f>
        <v>4.7639457325596162</v>
      </c>
      <c r="T14" s="51">
        <f t="shared" si="0"/>
        <v>-0.15527758544495329</v>
      </c>
    </row>
    <row r="15" spans="2:20" x14ac:dyDescent="0.3">
      <c r="B15" s="48">
        <f t="shared" si="1"/>
        <v>12</v>
      </c>
      <c r="C15" s="49">
        <f t="shared" si="2"/>
        <v>46475</v>
      </c>
      <c r="D15" s="50">
        <f t="shared" ref="D15:D18" si="9">FORECAST(B15,$D$4:$D$13,$B$4:$B$13)</f>
        <v>4235.7443636363632</v>
      </c>
      <c r="E15" s="51">
        <f t="shared" si="3"/>
        <v>7.8155835918084726E-2</v>
      </c>
      <c r="F15" s="84"/>
      <c r="G15" s="17"/>
      <c r="H15" s="86"/>
      <c r="I15" s="46"/>
      <c r="J15" s="84"/>
      <c r="K15"/>
      <c r="L15" s="48">
        <f t="shared" si="4"/>
        <v>12</v>
      </c>
      <c r="M15" s="49">
        <f t="shared" si="5"/>
        <v>46475</v>
      </c>
      <c r="N15" s="50">
        <f t="shared" ref="N15:N18" si="10">FORECAST(L15,$N$4:$N$13,$L$4:$L$13)</f>
        <v>12993.568424242429</v>
      </c>
      <c r="O15" s="51">
        <f t="shared" si="6"/>
        <v>8.4222157070387826E-2</v>
      </c>
      <c r="P15"/>
      <c r="Q15" s="48">
        <f t="shared" si="7"/>
        <v>12</v>
      </c>
      <c r="R15" s="49">
        <f t="shared" si="8"/>
        <v>46475</v>
      </c>
      <c r="S15" s="50">
        <f t="shared" ref="S15:S18" si="11">FORECAST(Q15,S5:S14,Q5:Q14)</f>
        <v>6.4500512303579693</v>
      </c>
      <c r="T15" s="51">
        <f t="shared" si="0"/>
        <v>0.3539304585848897</v>
      </c>
    </row>
    <row r="16" spans="2:20" x14ac:dyDescent="0.3">
      <c r="B16" s="48">
        <f t="shared" si="1"/>
        <v>13</v>
      </c>
      <c r="C16" s="49">
        <f t="shared" si="2"/>
        <v>46840</v>
      </c>
      <c r="D16" s="50">
        <f t="shared" si="9"/>
        <v>4542.794727272727</v>
      </c>
      <c r="E16" s="51">
        <f t="shared" si="3"/>
        <v>7.249029622098413E-2</v>
      </c>
      <c r="F16" s="84"/>
      <c r="G16" s="17"/>
      <c r="H16" s="86"/>
      <c r="I16" s="46"/>
      <c r="J16" s="84"/>
      <c r="K16"/>
      <c r="L16" s="48">
        <f t="shared" si="4"/>
        <v>13</v>
      </c>
      <c r="M16" s="49">
        <f t="shared" si="5"/>
        <v>46840</v>
      </c>
      <c r="N16" s="50">
        <f t="shared" si="10"/>
        <v>14002.906181818184</v>
      </c>
      <c r="O16" s="51">
        <f t="shared" si="6"/>
        <v>7.7679797005771656E-2</v>
      </c>
      <c r="P16"/>
      <c r="Q16" s="48">
        <f t="shared" si="7"/>
        <v>13</v>
      </c>
      <c r="R16" s="49">
        <f t="shared" si="8"/>
        <v>46840</v>
      </c>
      <c r="S16" s="50">
        <f t="shared" si="11"/>
        <v>10.8563732186871</v>
      </c>
      <c r="T16" s="51">
        <f t="shared" si="0"/>
        <v>0.68314526985308688</v>
      </c>
    </row>
    <row r="17" spans="2:20" x14ac:dyDescent="0.3">
      <c r="B17" s="48">
        <f t="shared" si="1"/>
        <v>14</v>
      </c>
      <c r="C17" s="49">
        <f t="shared" si="2"/>
        <v>47205</v>
      </c>
      <c r="D17" s="50">
        <f t="shared" si="9"/>
        <v>4849.8450909090907</v>
      </c>
      <c r="E17" s="51">
        <f t="shared" si="3"/>
        <v>6.7590631333831253E-2</v>
      </c>
      <c r="F17" s="84"/>
      <c r="G17" s="17"/>
      <c r="H17" s="86"/>
      <c r="I17" s="46"/>
      <c r="J17" s="84"/>
      <c r="K17"/>
      <c r="L17" s="48">
        <f t="shared" si="4"/>
        <v>14</v>
      </c>
      <c r="M17" s="49">
        <f t="shared" si="5"/>
        <v>47205</v>
      </c>
      <c r="N17" s="50">
        <f t="shared" si="10"/>
        <v>15012.243939393942</v>
      </c>
      <c r="O17" s="51">
        <f t="shared" si="6"/>
        <v>7.2080591305133224E-2</v>
      </c>
      <c r="P17"/>
      <c r="Q17" s="48">
        <f t="shared" si="7"/>
        <v>14</v>
      </c>
      <c r="R17" s="49">
        <f t="shared" si="8"/>
        <v>47205</v>
      </c>
      <c r="S17" s="50">
        <f t="shared" si="11"/>
        <v>12.82268287625422</v>
      </c>
      <c r="T17" s="51">
        <f t="shared" si="0"/>
        <v>0.1811203076716732</v>
      </c>
    </row>
    <row r="18" spans="2:20" x14ac:dyDescent="0.3">
      <c r="B18" s="48">
        <f t="shared" si="1"/>
        <v>15</v>
      </c>
      <c r="C18" s="49">
        <f t="shared" si="2"/>
        <v>47570</v>
      </c>
      <c r="D18" s="50">
        <f t="shared" si="9"/>
        <v>5156.8954545454544</v>
      </c>
      <c r="E18" s="51">
        <f t="shared" si="3"/>
        <v>6.3311375493605215E-2</v>
      </c>
      <c r="F18" s="84"/>
      <c r="G18" s="17"/>
      <c r="H18" s="86"/>
      <c r="I18" s="46"/>
      <c r="J18" s="84"/>
      <c r="K18"/>
      <c r="L18" s="48">
        <f t="shared" si="4"/>
        <v>15</v>
      </c>
      <c r="M18" s="49">
        <f t="shared" si="5"/>
        <v>47570</v>
      </c>
      <c r="N18" s="50">
        <f t="shared" si="10"/>
        <v>16021.581696969701</v>
      </c>
      <c r="O18" s="51">
        <f t="shared" si="6"/>
        <v>6.7234302989650718E-2</v>
      </c>
      <c r="P18"/>
      <c r="Q18" s="48">
        <f t="shared" si="7"/>
        <v>15</v>
      </c>
      <c r="R18" s="49">
        <f t="shared" si="8"/>
        <v>47570</v>
      </c>
      <c r="S18" s="50">
        <f t="shared" si="11"/>
        <v>13.274594128241638</v>
      </c>
      <c r="T18" s="51">
        <f t="shared" si="0"/>
        <v>3.5243112252607789E-2</v>
      </c>
    </row>
    <row r="20" spans="2:20" x14ac:dyDescent="0.3">
      <c r="D20" s="79"/>
      <c r="G20" t="s">
        <v>165</v>
      </c>
      <c r="H20"/>
      <c r="I20"/>
      <c r="J20"/>
      <c r="K20"/>
      <c r="L20"/>
      <c r="M20"/>
      <c r="N20"/>
      <c r="O20"/>
    </row>
    <row r="21" spans="2:20" ht="15" thickBot="1" x14ac:dyDescent="0.35">
      <c r="D21" s="80"/>
      <c r="G21"/>
      <c r="H21"/>
      <c r="I21"/>
      <c r="J21"/>
      <c r="K21"/>
      <c r="L21"/>
      <c r="M21"/>
      <c r="N21"/>
      <c r="O21"/>
    </row>
    <row r="22" spans="2:20" x14ac:dyDescent="0.3">
      <c r="G22" s="89" t="s">
        <v>166</v>
      </c>
      <c r="H22" s="89"/>
      <c r="I22"/>
      <c r="J22"/>
      <c r="K22"/>
      <c r="L22"/>
      <c r="M22"/>
      <c r="N22"/>
      <c r="O22"/>
    </row>
    <row r="23" spans="2:20" x14ac:dyDescent="0.3">
      <c r="D23" s="80"/>
      <c r="G23" t="s">
        <v>167</v>
      </c>
      <c r="H23">
        <v>0.96283983605757872</v>
      </c>
      <c r="I23"/>
      <c r="J23"/>
      <c r="K23"/>
      <c r="L23"/>
      <c r="M23"/>
      <c r="N23"/>
      <c r="O23"/>
    </row>
    <row r="24" spans="2:20" x14ac:dyDescent="0.3">
      <c r="G24" t="s">
        <v>168</v>
      </c>
      <c r="H24">
        <v>0.92706054989938513</v>
      </c>
      <c r="I24"/>
      <c r="J24"/>
      <c r="K24"/>
      <c r="L24"/>
      <c r="M24"/>
      <c r="N24"/>
      <c r="O24"/>
    </row>
    <row r="25" spans="2:20" x14ac:dyDescent="0.3">
      <c r="G25" t="s">
        <v>169</v>
      </c>
      <c r="H25">
        <v>0.91794311863680833</v>
      </c>
      <c r="I25"/>
      <c r="J25"/>
      <c r="K25"/>
      <c r="L25"/>
      <c r="M25"/>
      <c r="N25"/>
      <c r="O25"/>
    </row>
    <row r="26" spans="2:20" x14ac:dyDescent="0.3">
      <c r="D26" s="32"/>
      <c r="E26" s="32"/>
      <c r="F26" s="32"/>
      <c r="G26" t="s">
        <v>170</v>
      </c>
      <c r="H26">
        <v>276.57873692429126</v>
      </c>
      <c r="I26"/>
      <c r="J26"/>
      <c r="K26"/>
      <c r="L26"/>
      <c r="M26"/>
      <c r="N26"/>
      <c r="O26"/>
      <c r="P26" s="32"/>
      <c r="Q26" s="32"/>
      <c r="R26" s="32"/>
    </row>
    <row r="27" spans="2:20" ht="15" thickBot="1" x14ac:dyDescent="0.35">
      <c r="G27" s="87" t="s">
        <v>171</v>
      </c>
      <c r="H27" s="87">
        <v>10</v>
      </c>
      <c r="I27"/>
      <c r="J27"/>
      <c r="K27"/>
      <c r="L27"/>
      <c r="M27"/>
      <c r="N27"/>
      <c r="O27"/>
    </row>
    <row r="28" spans="2:20" x14ac:dyDescent="0.3">
      <c r="G28"/>
      <c r="H28"/>
      <c r="I28"/>
      <c r="J28"/>
      <c r="K28"/>
      <c r="L28"/>
      <c r="M28"/>
      <c r="N28"/>
      <c r="O28"/>
    </row>
    <row r="29" spans="2:20" ht="15" thickBot="1" x14ac:dyDescent="0.35">
      <c r="G29" t="s">
        <v>172</v>
      </c>
      <c r="H29"/>
      <c r="I29"/>
      <c r="J29"/>
      <c r="K29"/>
      <c r="L29"/>
      <c r="M29"/>
      <c r="N29"/>
      <c r="O29"/>
    </row>
    <row r="30" spans="2:20" x14ac:dyDescent="0.3">
      <c r="G30" s="88"/>
      <c r="H30" s="88" t="s">
        <v>176</v>
      </c>
      <c r="I30" s="88" t="s">
        <v>177</v>
      </c>
      <c r="J30" s="88" t="s">
        <v>178</v>
      </c>
      <c r="K30" s="88" t="s">
        <v>179</v>
      </c>
      <c r="L30" s="88" t="s">
        <v>180</v>
      </c>
      <c r="M30"/>
      <c r="N30"/>
      <c r="O30"/>
    </row>
    <row r="31" spans="2:20" x14ac:dyDescent="0.3">
      <c r="G31" t="s">
        <v>173</v>
      </c>
      <c r="H31">
        <v>1</v>
      </c>
      <c r="I31">
        <v>7778093.8792609079</v>
      </c>
      <c r="J31">
        <v>7778093.8792609079</v>
      </c>
      <c r="K31">
        <v>101.68001525874627</v>
      </c>
      <c r="L31">
        <v>7.9760780942824915E-6</v>
      </c>
      <c r="M31"/>
      <c r="N31"/>
      <c r="O31"/>
    </row>
    <row r="32" spans="2:20" x14ac:dyDescent="0.3">
      <c r="G32" t="s">
        <v>174</v>
      </c>
      <c r="H32">
        <v>8</v>
      </c>
      <c r="I32">
        <v>611966.38174909051</v>
      </c>
      <c r="J32">
        <v>76495.797718636313</v>
      </c>
      <c r="K32"/>
      <c r="L32"/>
      <c r="M32"/>
      <c r="N32"/>
      <c r="O32"/>
    </row>
    <row r="33" spans="7:15" ht="15" thickBot="1" x14ac:dyDescent="0.35">
      <c r="G33" s="87" t="s">
        <v>26</v>
      </c>
      <c r="H33" s="87">
        <v>9</v>
      </c>
      <c r="I33" s="87">
        <v>8390060.2610099986</v>
      </c>
      <c r="J33" s="87"/>
      <c r="K33" s="87"/>
      <c r="L33" s="87"/>
      <c r="M33"/>
      <c r="N33"/>
      <c r="O33"/>
    </row>
    <row r="34" spans="7:15" ht="15" thickBot="1" x14ac:dyDescent="0.35">
      <c r="G34"/>
      <c r="H34"/>
      <c r="I34"/>
      <c r="J34"/>
      <c r="K34"/>
      <c r="L34"/>
      <c r="M34"/>
      <c r="N34"/>
      <c r="O34"/>
    </row>
    <row r="35" spans="7:15" x14ac:dyDescent="0.3">
      <c r="G35" s="88"/>
      <c r="H35" s="88" t="s">
        <v>181</v>
      </c>
      <c r="I35" s="88" t="s">
        <v>170</v>
      </c>
      <c r="J35" s="88" t="s">
        <v>182</v>
      </c>
      <c r="K35" s="88" t="s">
        <v>183</v>
      </c>
      <c r="L35" s="88" t="s">
        <v>184</v>
      </c>
      <c r="M35" s="88" t="s">
        <v>185</v>
      </c>
      <c r="N35" s="88" t="s">
        <v>186</v>
      </c>
      <c r="O35" s="88" t="s">
        <v>187</v>
      </c>
    </row>
    <row r="36" spans="7:15" x14ac:dyDescent="0.3">
      <c r="G36" t="s">
        <v>175</v>
      </c>
      <c r="H36">
        <v>551.13999999999965</v>
      </c>
      <c r="I36">
        <v>188.93924667830029</v>
      </c>
      <c r="J36">
        <v>2.9170223216693825</v>
      </c>
      <c r="K36">
        <v>1.9379464547386573E-2</v>
      </c>
      <c r="L36">
        <v>115.44531585747899</v>
      </c>
      <c r="M36">
        <v>986.83468414252025</v>
      </c>
      <c r="N36">
        <v>115.44531585747899</v>
      </c>
      <c r="O36">
        <v>986.83468414252025</v>
      </c>
    </row>
    <row r="37" spans="7:15" ht="15" thickBot="1" x14ac:dyDescent="0.35">
      <c r="G37" s="87" t="s">
        <v>188</v>
      </c>
      <c r="H37" s="87">
        <v>307.05036363636367</v>
      </c>
      <c r="I37" s="87">
        <v>30.450316755806089</v>
      </c>
      <c r="J37" s="87">
        <v>10.083650889372674</v>
      </c>
      <c r="K37" s="87">
        <v>7.976078094282478E-6</v>
      </c>
      <c r="L37" s="87">
        <v>236.83180727919807</v>
      </c>
      <c r="M37" s="87">
        <v>377.26891999352927</v>
      </c>
      <c r="N37" s="87">
        <v>236.83180727919807</v>
      </c>
      <c r="O37" s="87">
        <v>377.26891999352927</v>
      </c>
    </row>
    <row r="38" spans="7:15" x14ac:dyDescent="0.3">
      <c r="G38"/>
      <c r="H38"/>
      <c r="I38"/>
      <c r="J38"/>
      <c r="K38"/>
      <c r="L38"/>
      <c r="M38"/>
      <c r="N38"/>
      <c r="O38"/>
    </row>
    <row r="39" spans="7:15" x14ac:dyDescent="0.3">
      <c r="G39"/>
      <c r="H39"/>
      <c r="I39"/>
      <c r="J39"/>
      <c r="K39"/>
      <c r="L39"/>
      <c r="M39"/>
      <c r="N39"/>
      <c r="O39"/>
    </row>
    <row r="40" spans="7:15" x14ac:dyDescent="0.3">
      <c r="G40"/>
      <c r="H40"/>
      <c r="I40"/>
      <c r="J40"/>
      <c r="K40"/>
      <c r="L40"/>
      <c r="M40"/>
      <c r="N40"/>
      <c r="O40"/>
    </row>
  </sheetData>
  <mergeCells count="4">
    <mergeCell ref="B2:E2"/>
    <mergeCell ref="L2:O2"/>
    <mergeCell ref="Q2:T2"/>
    <mergeCell ref="G2:J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116" zoomScaleNormal="100" zoomScalePageLayoutView="120" workbookViewId="0">
      <pane xSplit="1" ySplit="1" topLeftCell="B12" activePane="bottomRight" state="frozen"/>
      <selection activeCell="C4" sqref="C4"/>
      <selection pane="topRight" activeCell="C4" sqref="C4"/>
      <selection pane="bottomLeft" activeCell="C4" sqref="C4"/>
      <selection pane="bottomRight" activeCell="B32" sqref="B32"/>
    </sheetView>
  </sheetViews>
  <sheetFormatPr defaultColWidth="8.88671875" defaultRowHeight="14.4" x14ac:dyDescent="0.3"/>
  <cols>
    <col min="1" max="1" width="27.6640625" style="4" bestFit="1" customWidth="1"/>
    <col min="2" max="11" width="13.44140625" style="4" bestFit="1" customWidth="1"/>
    <col min="12" max="16384" width="8.88671875" style="4"/>
  </cols>
  <sheetData>
    <row r="1" spans="1:11" s="1" customFormat="1" x14ac:dyDescent="0.3">
      <c r="A1" s="1" t="s">
        <v>0</v>
      </c>
      <c r="B1" s="1" t="s">
        <v>48</v>
      </c>
      <c r="E1" s="95" t="str">
        <f>IF(B2&lt;&gt;B3, "A NEW VERSION OF THE WORKSHEET IS AVAILABLE", "")</f>
        <v/>
      </c>
      <c r="F1" s="95"/>
      <c r="G1" s="95"/>
      <c r="H1" s="95"/>
      <c r="I1" s="95"/>
      <c r="J1" s="95"/>
      <c r="K1" s="95"/>
    </row>
    <row r="2" spans="1:11" x14ac:dyDescent="0.3">
      <c r="A2" s="1" t="s">
        <v>46</v>
      </c>
      <c r="B2" s="4">
        <v>2.1</v>
      </c>
      <c r="E2" s="96" t="s">
        <v>35</v>
      </c>
      <c r="F2" s="96"/>
      <c r="G2" s="96"/>
      <c r="H2" s="96"/>
      <c r="I2" s="96"/>
      <c r="J2" s="96"/>
      <c r="K2" s="96"/>
    </row>
    <row r="3" spans="1:11" x14ac:dyDescent="0.3">
      <c r="A3" s="1" t="s">
        <v>47</v>
      </c>
      <c r="B3" s="4">
        <v>2.1</v>
      </c>
    </row>
    <row r="4" spans="1:11" x14ac:dyDescent="0.3">
      <c r="A4" s="1"/>
      <c r="C4" s="18"/>
    </row>
    <row r="5" spans="1:11" x14ac:dyDescent="0.3">
      <c r="A5" s="1" t="s">
        <v>49</v>
      </c>
      <c r="C5" s="18"/>
    </row>
    <row r="6" spans="1:11" x14ac:dyDescent="0.3">
      <c r="A6" s="4" t="s">
        <v>41</v>
      </c>
      <c r="B6" s="4">
        <f>IF(B9&gt;0, B9/B8, 0)</f>
        <v>16.057345612134345</v>
      </c>
      <c r="C6" s="18"/>
    </row>
    <row r="7" spans="1:11" x14ac:dyDescent="0.3">
      <c r="A7" s="4" t="s">
        <v>30</v>
      </c>
      <c r="B7">
        <v>1</v>
      </c>
      <c r="C7" s="18"/>
    </row>
    <row r="8" spans="1:11" x14ac:dyDescent="0.3">
      <c r="A8" s="4" t="s">
        <v>42</v>
      </c>
      <c r="B8">
        <v>1846</v>
      </c>
      <c r="C8" s="18"/>
    </row>
    <row r="9" spans="1:11" x14ac:dyDescent="0.3">
      <c r="A9" s="4" t="s">
        <v>64</v>
      </c>
      <c r="B9">
        <v>29641.86</v>
      </c>
      <c r="C9" s="18"/>
    </row>
    <row r="10" spans="1:11" x14ac:dyDescent="0.3">
      <c r="C10" s="18"/>
    </row>
    <row r="11" spans="1:11" x14ac:dyDescent="0.3">
      <c r="C11" s="18"/>
    </row>
    <row r="12" spans="1:11" x14ac:dyDescent="0.3">
      <c r="C12" s="18"/>
    </row>
    <row r="13" spans="1:11" x14ac:dyDescent="0.3">
      <c r="C13" s="18"/>
    </row>
    <row r="14" spans="1:11" x14ac:dyDescent="0.3">
      <c r="C14" s="18"/>
    </row>
    <row r="15" spans="1:11" x14ac:dyDescent="0.3">
      <c r="A15" s="1" t="s">
        <v>36</v>
      </c>
      <c r="C15" s="18"/>
    </row>
    <row r="16" spans="1:11" s="15" customFormat="1" x14ac:dyDescent="0.3">
      <c r="A16" s="14" t="s">
        <v>37</v>
      </c>
      <c r="B16" s="11">
        <v>42460</v>
      </c>
      <c r="C16" s="11">
        <v>42825</v>
      </c>
      <c r="D16" s="11">
        <v>43190</v>
      </c>
      <c r="E16" s="11">
        <v>43555</v>
      </c>
      <c r="F16" s="11">
        <v>43921</v>
      </c>
      <c r="G16" s="11">
        <v>44286</v>
      </c>
      <c r="H16" s="11">
        <v>44651</v>
      </c>
      <c r="I16" s="11">
        <v>45016</v>
      </c>
      <c r="J16" s="11">
        <v>45382</v>
      </c>
      <c r="K16" s="11">
        <v>45747</v>
      </c>
    </row>
    <row r="17" spans="1:11" s="6" customFormat="1" x14ac:dyDescent="0.3">
      <c r="A17" s="6" t="s">
        <v>6</v>
      </c>
      <c r="B17">
        <v>1210.3599999999999</v>
      </c>
      <c r="C17" s="19">
        <v>1344.29</v>
      </c>
      <c r="D17">
        <v>1408.38</v>
      </c>
      <c r="E17">
        <v>1643.2</v>
      </c>
      <c r="F17">
        <v>1774.73</v>
      </c>
      <c r="G17">
        <v>2042.52</v>
      </c>
      <c r="H17">
        <v>2424.2399999999998</v>
      </c>
      <c r="I17">
        <v>3149.28</v>
      </c>
      <c r="J17">
        <v>3484.18</v>
      </c>
      <c r="K17">
        <v>3917.99</v>
      </c>
    </row>
    <row r="18" spans="1:11" s="6" customFormat="1" x14ac:dyDescent="0.3">
      <c r="A18" s="4" t="s">
        <v>65</v>
      </c>
      <c r="B18">
        <v>483.71</v>
      </c>
      <c r="C18" s="20">
        <v>519.54</v>
      </c>
      <c r="D18">
        <v>544.41</v>
      </c>
      <c r="E18">
        <v>615.76</v>
      </c>
      <c r="F18">
        <v>634.79</v>
      </c>
      <c r="G18">
        <v>742.76</v>
      </c>
      <c r="H18">
        <v>860.38</v>
      </c>
      <c r="I18">
        <v>1179.2</v>
      </c>
      <c r="J18">
        <v>1228.9000000000001</v>
      </c>
      <c r="K18">
        <v>1316.97</v>
      </c>
    </row>
    <row r="19" spans="1:11" s="6" customFormat="1" x14ac:dyDescent="0.3">
      <c r="A19" s="4" t="s">
        <v>66</v>
      </c>
      <c r="B19">
        <v>13.51</v>
      </c>
      <c r="C19" s="20">
        <v>-8.43</v>
      </c>
      <c r="D19">
        <v>6.59</v>
      </c>
      <c r="E19">
        <v>19.3</v>
      </c>
      <c r="F19">
        <v>3.99</v>
      </c>
      <c r="G19">
        <v>41.26</v>
      </c>
      <c r="H19">
        <v>17.45</v>
      </c>
      <c r="I19">
        <v>11</v>
      </c>
      <c r="J19">
        <v>46.85</v>
      </c>
      <c r="K19">
        <v>0.43</v>
      </c>
    </row>
    <row r="20" spans="1:11" s="6" customFormat="1" x14ac:dyDescent="0.3">
      <c r="A20" s="4" t="s">
        <v>67</v>
      </c>
      <c r="B20">
        <v>55.28</v>
      </c>
      <c r="C20">
        <v>54.89</v>
      </c>
      <c r="D20">
        <v>58.28</v>
      </c>
      <c r="E20">
        <v>63.29</v>
      </c>
      <c r="F20">
        <v>61.54</v>
      </c>
      <c r="G20">
        <v>62.6</v>
      </c>
      <c r="H20">
        <v>71.47</v>
      </c>
      <c r="I20">
        <v>91.54</v>
      </c>
      <c r="J20">
        <v>88.08</v>
      </c>
      <c r="K20">
        <v>83.95</v>
      </c>
    </row>
    <row r="21" spans="1:11" s="6" customFormat="1" x14ac:dyDescent="0.3">
      <c r="A21" s="4" t="s">
        <v>68</v>
      </c>
      <c r="B21">
        <v>71.91</v>
      </c>
      <c r="C21">
        <v>77.7</v>
      </c>
      <c r="D21">
        <v>75.92</v>
      </c>
      <c r="E21">
        <v>82.54</v>
      </c>
      <c r="F21">
        <v>77.08</v>
      </c>
      <c r="G21">
        <v>84.7</v>
      </c>
      <c r="H21">
        <v>97.36</v>
      </c>
      <c r="I21">
        <v>106.14</v>
      </c>
      <c r="J21">
        <v>120.97</v>
      </c>
      <c r="K21">
        <v>143.86000000000001</v>
      </c>
    </row>
    <row r="22" spans="1:11" s="6" customFormat="1" x14ac:dyDescent="0.3">
      <c r="A22" s="4" t="s">
        <v>69</v>
      </c>
      <c r="B22">
        <v>175.94</v>
      </c>
      <c r="C22">
        <v>217.83</v>
      </c>
      <c r="D22">
        <v>251.55</v>
      </c>
      <c r="E22">
        <v>288.66000000000003</v>
      </c>
      <c r="F22">
        <v>323.41000000000003</v>
      </c>
      <c r="G22">
        <v>341.93</v>
      </c>
      <c r="H22">
        <v>440.64</v>
      </c>
      <c r="I22">
        <v>545.75</v>
      </c>
      <c r="J22">
        <v>603.71</v>
      </c>
      <c r="K22">
        <v>689.85</v>
      </c>
    </row>
    <row r="23" spans="1:11" s="6" customFormat="1" x14ac:dyDescent="0.3">
      <c r="A23" s="4" t="s">
        <v>70</v>
      </c>
      <c r="B23">
        <v>156.79</v>
      </c>
      <c r="C23">
        <v>173.79</v>
      </c>
      <c r="D23">
        <v>204.86</v>
      </c>
      <c r="E23">
        <v>234.03</v>
      </c>
      <c r="F23">
        <v>228.23</v>
      </c>
      <c r="G23">
        <v>232.23</v>
      </c>
      <c r="H23">
        <v>357.5</v>
      </c>
      <c r="I23">
        <v>446.51</v>
      </c>
      <c r="J23">
        <v>499.64</v>
      </c>
      <c r="K23">
        <v>556.67999999999995</v>
      </c>
    </row>
    <row r="24" spans="1:11" s="6" customFormat="1" x14ac:dyDescent="0.3">
      <c r="A24" s="4" t="s">
        <v>71</v>
      </c>
      <c r="B24">
        <v>74.17</v>
      </c>
      <c r="C24">
        <v>59.73</v>
      </c>
      <c r="D24">
        <v>62.4</v>
      </c>
      <c r="E24">
        <v>72.38</v>
      </c>
      <c r="F24">
        <v>76.099999999999994</v>
      </c>
      <c r="G24">
        <v>59.15</v>
      </c>
      <c r="H24">
        <v>70.89</v>
      </c>
      <c r="I24">
        <v>95.39</v>
      </c>
      <c r="J24">
        <v>92.6</v>
      </c>
      <c r="K24">
        <v>95.27</v>
      </c>
    </row>
    <row r="25" spans="1:11" s="6" customFormat="1" x14ac:dyDescent="0.3">
      <c r="A25" s="6" t="s">
        <v>9</v>
      </c>
      <c r="B25">
        <v>58.03</v>
      </c>
      <c r="C25">
        <v>50.16</v>
      </c>
      <c r="D25">
        <v>36.86</v>
      </c>
      <c r="E25">
        <v>41.44</v>
      </c>
      <c r="F25">
        <v>40.67</v>
      </c>
      <c r="G25">
        <v>112.38</v>
      </c>
      <c r="H25">
        <v>39.229999999999997</v>
      </c>
      <c r="I25">
        <v>9.94</v>
      </c>
      <c r="J25">
        <v>37.03</v>
      </c>
      <c r="K25">
        <v>38.32</v>
      </c>
    </row>
    <row r="26" spans="1:11" s="6" customFormat="1" x14ac:dyDescent="0.3">
      <c r="A26" s="6" t="s">
        <v>10</v>
      </c>
      <c r="B26">
        <v>41.22</v>
      </c>
      <c r="C26">
        <v>47.22</v>
      </c>
      <c r="D26">
        <v>56.97</v>
      </c>
      <c r="E26">
        <v>55.64</v>
      </c>
      <c r="F26">
        <v>66.319999999999993</v>
      </c>
      <c r="G26">
        <v>68.67</v>
      </c>
      <c r="H26">
        <v>72.66</v>
      </c>
      <c r="I26">
        <v>114.41</v>
      </c>
      <c r="J26">
        <v>138.32</v>
      </c>
      <c r="K26">
        <v>171.04</v>
      </c>
    </row>
    <row r="27" spans="1:11" s="6" customFormat="1" x14ac:dyDescent="0.3">
      <c r="A27" s="6" t="s">
        <v>11</v>
      </c>
      <c r="B27">
        <v>10.65</v>
      </c>
      <c r="C27">
        <v>5.37</v>
      </c>
      <c r="D27">
        <v>3.49</v>
      </c>
      <c r="E27">
        <v>4.6500000000000004</v>
      </c>
      <c r="F27">
        <v>3.03</v>
      </c>
      <c r="G27">
        <v>7.24</v>
      </c>
      <c r="H27">
        <v>5.12</v>
      </c>
      <c r="I27">
        <v>36.049999999999997</v>
      </c>
      <c r="J27">
        <v>44.33</v>
      </c>
      <c r="K27">
        <v>11.73</v>
      </c>
    </row>
    <row r="28" spans="1:11" s="6" customFormat="1" x14ac:dyDescent="0.3">
      <c r="A28" s="6" t="s">
        <v>12</v>
      </c>
      <c r="B28">
        <v>212.23</v>
      </c>
      <c r="C28">
        <v>229.95</v>
      </c>
      <c r="D28">
        <v>193.95</v>
      </c>
      <c r="E28">
        <v>286.99</v>
      </c>
      <c r="F28">
        <v>348.89</v>
      </c>
      <c r="G28">
        <v>596.88</v>
      </c>
      <c r="H28">
        <v>504.9</v>
      </c>
      <c r="I28">
        <v>555.23</v>
      </c>
      <c r="J28">
        <v>751.51</v>
      </c>
      <c r="K28">
        <v>887.39</v>
      </c>
    </row>
    <row r="29" spans="1:11" s="6" customFormat="1" x14ac:dyDescent="0.3">
      <c r="A29" s="6" t="s">
        <v>13</v>
      </c>
      <c r="B29">
        <v>49.58</v>
      </c>
      <c r="C29">
        <v>45.54</v>
      </c>
      <c r="D29">
        <v>55.23</v>
      </c>
      <c r="E29">
        <v>93.02</v>
      </c>
      <c r="F29">
        <v>76.5</v>
      </c>
      <c r="G29">
        <v>148.36000000000001</v>
      </c>
      <c r="H29">
        <v>118.86</v>
      </c>
      <c r="I29">
        <v>145.22999999999999</v>
      </c>
      <c r="J29">
        <v>198.88</v>
      </c>
      <c r="K29">
        <v>227.8</v>
      </c>
    </row>
    <row r="30" spans="1:11" s="6" customFormat="1" x14ac:dyDescent="0.3">
      <c r="A30" s="6" t="s">
        <v>14</v>
      </c>
      <c r="B30">
        <v>162.55000000000001</v>
      </c>
      <c r="C30">
        <v>184.06</v>
      </c>
      <c r="D30">
        <v>138.34</v>
      </c>
      <c r="E30">
        <v>193.47</v>
      </c>
      <c r="F30">
        <v>272.05</v>
      </c>
      <c r="G30">
        <v>447.96</v>
      </c>
      <c r="H30">
        <v>385.36</v>
      </c>
      <c r="I30">
        <v>409.84</v>
      </c>
      <c r="J30">
        <v>552.63</v>
      </c>
      <c r="K30">
        <v>659.58</v>
      </c>
    </row>
    <row r="31" spans="1:11" s="6" customFormat="1" x14ac:dyDescent="0.3">
      <c r="A31" s="6" t="s">
        <v>55</v>
      </c>
      <c r="B31">
        <v>42.4</v>
      </c>
      <c r="C31">
        <v>8.48</v>
      </c>
      <c r="D31">
        <v>16.71</v>
      </c>
      <c r="E31">
        <v>40.119999999999997</v>
      </c>
      <c r="F31">
        <v>85.03</v>
      </c>
      <c r="G31">
        <v>127.54</v>
      </c>
      <c r="H31">
        <v>127.54</v>
      </c>
      <c r="I31">
        <v>137.38</v>
      </c>
      <c r="J31">
        <v>190.12</v>
      </c>
      <c r="K31">
        <v>241.34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38</v>
      </c>
    </row>
    <row r="41" spans="1:11" s="15" customFormat="1" x14ac:dyDescent="0.3">
      <c r="A41" s="14" t="s">
        <v>37</v>
      </c>
      <c r="B41" s="11">
        <v>45199</v>
      </c>
      <c r="C41" s="11">
        <v>45291</v>
      </c>
      <c r="D41" s="11">
        <v>45382</v>
      </c>
      <c r="E41" s="11">
        <v>45473</v>
      </c>
      <c r="F41" s="11">
        <v>45565</v>
      </c>
      <c r="G41" s="11">
        <v>45657</v>
      </c>
      <c r="H41" s="11">
        <v>45747</v>
      </c>
      <c r="I41" s="11">
        <v>45838</v>
      </c>
      <c r="J41" s="11">
        <v>45930</v>
      </c>
      <c r="K41" s="11">
        <v>46022</v>
      </c>
    </row>
    <row r="42" spans="1:11" s="6" customFormat="1" x14ac:dyDescent="0.3">
      <c r="A42" s="6" t="s">
        <v>6</v>
      </c>
      <c r="B42">
        <v>881.74</v>
      </c>
      <c r="C42">
        <v>844.51</v>
      </c>
      <c r="D42">
        <v>861.73</v>
      </c>
      <c r="E42">
        <v>1004.4</v>
      </c>
      <c r="F42">
        <v>1000.62</v>
      </c>
      <c r="G42">
        <v>963.49</v>
      </c>
      <c r="H42">
        <v>949.48</v>
      </c>
      <c r="I42">
        <v>1093.94</v>
      </c>
      <c r="J42">
        <v>1084.9000000000001</v>
      </c>
      <c r="K42">
        <v>1064.72</v>
      </c>
    </row>
    <row r="43" spans="1:11" s="6" customFormat="1" x14ac:dyDescent="0.3">
      <c r="A43" s="6" t="s">
        <v>7</v>
      </c>
      <c r="B43">
        <v>638.20000000000005</v>
      </c>
      <c r="C43">
        <v>621.39</v>
      </c>
      <c r="D43">
        <v>663.61</v>
      </c>
      <c r="E43">
        <v>724.03</v>
      </c>
      <c r="F43">
        <v>730.1</v>
      </c>
      <c r="G43">
        <v>708.98</v>
      </c>
      <c r="H43">
        <v>723.04</v>
      </c>
      <c r="I43">
        <v>793.07</v>
      </c>
      <c r="J43">
        <v>775.3</v>
      </c>
      <c r="K43">
        <v>768.9</v>
      </c>
    </row>
    <row r="44" spans="1:11" s="6" customFormat="1" x14ac:dyDescent="0.3">
      <c r="A44" s="6" t="s">
        <v>9</v>
      </c>
      <c r="B44">
        <v>7.66</v>
      </c>
      <c r="C44">
        <v>7.35</v>
      </c>
      <c r="D44">
        <v>16.63</v>
      </c>
      <c r="E44">
        <v>5.89</v>
      </c>
      <c r="F44">
        <v>9.9499999999999993</v>
      </c>
      <c r="G44">
        <v>8</v>
      </c>
      <c r="H44">
        <v>14.48</v>
      </c>
      <c r="I44">
        <v>14.55</v>
      </c>
      <c r="J44">
        <v>15.34</v>
      </c>
      <c r="K44">
        <v>18.28</v>
      </c>
    </row>
    <row r="45" spans="1:11" s="6" customFormat="1" x14ac:dyDescent="0.3">
      <c r="A45" s="6" t="s">
        <v>10</v>
      </c>
      <c r="B45">
        <v>32.17</v>
      </c>
      <c r="C45">
        <v>34.03</v>
      </c>
      <c r="D45">
        <v>40.74</v>
      </c>
      <c r="E45">
        <v>40.78</v>
      </c>
      <c r="F45">
        <v>41.88</v>
      </c>
      <c r="G45">
        <v>41.94</v>
      </c>
      <c r="H45">
        <v>46.44</v>
      </c>
      <c r="I45">
        <v>42.7</v>
      </c>
      <c r="J45">
        <v>44.44</v>
      </c>
      <c r="K45">
        <v>45.35</v>
      </c>
    </row>
    <row r="46" spans="1:11" s="6" customFormat="1" x14ac:dyDescent="0.3">
      <c r="A46" s="6" t="s">
        <v>11</v>
      </c>
      <c r="B46">
        <v>10.37</v>
      </c>
      <c r="C46">
        <v>12.49</v>
      </c>
      <c r="D46">
        <v>9.41</v>
      </c>
      <c r="E46">
        <v>5.64</v>
      </c>
      <c r="F46">
        <v>2.06</v>
      </c>
      <c r="G46">
        <v>2.58</v>
      </c>
      <c r="H46">
        <v>1.45</v>
      </c>
      <c r="I46">
        <v>1.1100000000000001</v>
      </c>
      <c r="J46">
        <v>1.35</v>
      </c>
      <c r="K46">
        <v>1.88</v>
      </c>
    </row>
    <row r="47" spans="1:11" s="6" customFormat="1" x14ac:dyDescent="0.3">
      <c r="A47" s="6" t="s">
        <v>12</v>
      </c>
      <c r="B47">
        <v>208.66</v>
      </c>
      <c r="C47">
        <v>183.95</v>
      </c>
      <c r="D47">
        <v>164.6</v>
      </c>
      <c r="E47">
        <v>239.84</v>
      </c>
      <c r="F47">
        <v>236.53</v>
      </c>
      <c r="G47">
        <v>217.99</v>
      </c>
      <c r="H47">
        <v>193.03</v>
      </c>
      <c r="I47">
        <v>271.61</v>
      </c>
      <c r="J47">
        <v>279.14999999999998</v>
      </c>
      <c r="K47">
        <v>266.87</v>
      </c>
    </row>
    <row r="48" spans="1:11" s="6" customFormat="1" x14ac:dyDescent="0.3">
      <c r="A48" s="6" t="s">
        <v>13</v>
      </c>
      <c r="B48">
        <v>58.07</v>
      </c>
      <c r="C48">
        <v>50.38</v>
      </c>
      <c r="D48">
        <v>38.44</v>
      </c>
      <c r="E48">
        <v>63.01</v>
      </c>
      <c r="F48">
        <v>61.96</v>
      </c>
      <c r="G48">
        <v>55.5</v>
      </c>
      <c r="H48">
        <v>47.34</v>
      </c>
      <c r="I48">
        <v>69.23</v>
      </c>
      <c r="J48">
        <v>71.33</v>
      </c>
      <c r="K48">
        <v>68.98</v>
      </c>
    </row>
    <row r="49" spans="1:11" s="6" customFormat="1" x14ac:dyDescent="0.3">
      <c r="A49" s="6" t="s">
        <v>14</v>
      </c>
      <c r="B49">
        <v>150.59</v>
      </c>
      <c r="C49">
        <v>133.57</v>
      </c>
      <c r="D49">
        <v>126.16</v>
      </c>
      <c r="E49">
        <v>176.83</v>
      </c>
      <c r="F49">
        <v>174.57</v>
      </c>
      <c r="G49">
        <v>162.49</v>
      </c>
      <c r="H49">
        <v>145.69</v>
      </c>
      <c r="I49">
        <v>202.38</v>
      </c>
      <c r="J49">
        <v>207.82</v>
      </c>
      <c r="K49">
        <v>197.89</v>
      </c>
    </row>
    <row r="50" spans="1:11" x14ac:dyDescent="0.3">
      <c r="A50" s="6" t="s">
        <v>8</v>
      </c>
      <c r="B50">
        <v>243.54</v>
      </c>
      <c r="C50">
        <v>223.12</v>
      </c>
      <c r="D50">
        <v>198.12</v>
      </c>
      <c r="E50">
        <v>280.37</v>
      </c>
      <c r="F50">
        <v>270.52</v>
      </c>
      <c r="G50">
        <v>254.51</v>
      </c>
      <c r="H50">
        <v>226.44</v>
      </c>
      <c r="I50">
        <v>300.87</v>
      </c>
      <c r="J50">
        <v>309.60000000000002</v>
      </c>
      <c r="K50">
        <v>295.82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39</v>
      </c>
    </row>
    <row r="56" spans="1:11" s="15" customFormat="1" x14ac:dyDescent="0.3">
      <c r="A56" s="14" t="s">
        <v>37</v>
      </c>
      <c r="B56" s="11">
        <v>42460</v>
      </c>
      <c r="C56" s="11">
        <v>42825</v>
      </c>
      <c r="D56" s="11">
        <v>43190</v>
      </c>
      <c r="E56" s="11">
        <v>43555</v>
      </c>
      <c r="F56" s="11">
        <v>43921</v>
      </c>
      <c r="G56" s="11">
        <v>44286</v>
      </c>
      <c r="H56" s="11">
        <v>44651</v>
      </c>
      <c r="I56" s="11">
        <v>45016</v>
      </c>
      <c r="J56" s="11">
        <v>45382</v>
      </c>
      <c r="K56" s="11">
        <v>45747</v>
      </c>
    </row>
    <row r="57" spans="1:11" x14ac:dyDescent="0.3">
      <c r="A57" s="6" t="s">
        <v>24</v>
      </c>
      <c r="B57">
        <v>16.96</v>
      </c>
      <c r="C57">
        <v>16.96</v>
      </c>
      <c r="D57">
        <v>16.71</v>
      </c>
      <c r="E57">
        <v>16.05</v>
      </c>
      <c r="F57">
        <v>15.46</v>
      </c>
      <c r="G57">
        <v>15.46</v>
      </c>
      <c r="H57">
        <v>15.46</v>
      </c>
      <c r="I57">
        <v>15.48</v>
      </c>
      <c r="J57">
        <v>15.52</v>
      </c>
      <c r="K57">
        <v>15.57</v>
      </c>
    </row>
    <row r="58" spans="1:11" x14ac:dyDescent="0.3">
      <c r="A58" s="6" t="s">
        <v>25</v>
      </c>
      <c r="B58">
        <v>1166.8699999999999</v>
      </c>
      <c r="C58">
        <v>1346.71</v>
      </c>
      <c r="D58">
        <v>1424.84</v>
      </c>
      <c r="E58">
        <v>1464.08</v>
      </c>
      <c r="F58">
        <v>1420.03</v>
      </c>
      <c r="G58">
        <v>1794.27</v>
      </c>
      <c r="H58">
        <v>2118.67</v>
      </c>
      <c r="I58">
        <v>2464.88</v>
      </c>
      <c r="J58">
        <v>2907.81</v>
      </c>
      <c r="K58">
        <v>3417.75</v>
      </c>
    </row>
    <row r="59" spans="1:11" x14ac:dyDescent="0.3">
      <c r="A59" s="6" t="s">
        <v>56</v>
      </c>
      <c r="B59">
        <v>193.42</v>
      </c>
      <c r="C59">
        <v>48.86</v>
      </c>
      <c r="D59">
        <v>29.29</v>
      </c>
      <c r="E59">
        <v>25.8</v>
      </c>
      <c r="F59">
        <v>29.49</v>
      </c>
      <c r="G59">
        <v>44.98</v>
      </c>
      <c r="H59">
        <v>54.56</v>
      </c>
      <c r="I59">
        <v>572.45000000000005</v>
      </c>
      <c r="J59">
        <v>377.65</v>
      </c>
      <c r="K59">
        <v>27.89</v>
      </c>
    </row>
    <row r="60" spans="1:11" x14ac:dyDescent="0.3">
      <c r="A60" s="6" t="s">
        <v>57</v>
      </c>
      <c r="B60">
        <v>270.41000000000003</v>
      </c>
      <c r="C60">
        <v>261.51</v>
      </c>
      <c r="D60">
        <v>294.27</v>
      </c>
      <c r="E60">
        <v>286.02</v>
      </c>
      <c r="F60">
        <v>349</v>
      </c>
      <c r="G60">
        <v>376.46</v>
      </c>
      <c r="H60">
        <v>412.28</v>
      </c>
      <c r="I60">
        <v>494.55</v>
      </c>
      <c r="J60">
        <v>687.27</v>
      </c>
      <c r="K60">
        <v>804.15</v>
      </c>
    </row>
    <row r="61" spans="1:11" s="1" customFormat="1" x14ac:dyDescent="0.3">
      <c r="A61" s="1" t="s">
        <v>26</v>
      </c>
      <c r="B61">
        <v>1647.66</v>
      </c>
      <c r="C61">
        <v>1674.04</v>
      </c>
      <c r="D61">
        <v>1765.11</v>
      </c>
      <c r="E61">
        <v>1791.95</v>
      </c>
      <c r="F61">
        <v>1813.98</v>
      </c>
      <c r="G61">
        <v>2231.17</v>
      </c>
      <c r="H61">
        <v>2600.9699999999998</v>
      </c>
      <c r="I61">
        <v>3547.36</v>
      </c>
      <c r="J61">
        <v>3988.25</v>
      </c>
      <c r="K61">
        <v>4265.3599999999997</v>
      </c>
    </row>
    <row r="62" spans="1:11" x14ac:dyDescent="0.3">
      <c r="A62" s="6" t="s">
        <v>27</v>
      </c>
      <c r="B62">
        <v>440.22</v>
      </c>
      <c r="C62">
        <v>679.44</v>
      </c>
      <c r="D62">
        <v>639.5</v>
      </c>
      <c r="E62">
        <v>620.92999999999995</v>
      </c>
      <c r="F62">
        <v>651.26</v>
      </c>
      <c r="G62">
        <v>633.65</v>
      </c>
      <c r="H62">
        <v>1276.99</v>
      </c>
      <c r="I62">
        <v>1901.01</v>
      </c>
      <c r="J62">
        <v>2004.4</v>
      </c>
      <c r="K62">
        <v>1968.19</v>
      </c>
    </row>
    <row r="63" spans="1:11" x14ac:dyDescent="0.3">
      <c r="A63" s="6" t="s">
        <v>28</v>
      </c>
      <c r="B63">
        <v>134.88999999999999</v>
      </c>
      <c r="C63">
        <v>3.76</v>
      </c>
      <c r="D63">
        <v>17.399999999999999</v>
      </c>
      <c r="E63">
        <v>15.09</v>
      </c>
      <c r="F63">
        <v>16.170000000000002</v>
      </c>
      <c r="G63">
        <v>25.57</v>
      </c>
      <c r="H63">
        <v>18.68</v>
      </c>
      <c r="I63">
        <v>55.15</v>
      </c>
      <c r="J63">
        <v>76.400000000000006</v>
      </c>
      <c r="K63">
        <v>63.05</v>
      </c>
    </row>
    <row r="64" spans="1:11" x14ac:dyDescent="0.3">
      <c r="A64" s="6" t="s">
        <v>29</v>
      </c>
      <c r="B64">
        <v>478.7</v>
      </c>
      <c r="C64">
        <v>410.8</v>
      </c>
      <c r="D64">
        <v>433.72</v>
      </c>
      <c r="E64">
        <v>456.53</v>
      </c>
      <c r="F64">
        <v>403.27</v>
      </c>
      <c r="G64">
        <v>677.88</v>
      </c>
      <c r="H64">
        <v>12.72</v>
      </c>
      <c r="I64">
        <v>205.97</v>
      </c>
      <c r="J64">
        <v>388.36</v>
      </c>
      <c r="K64">
        <v>345.09</v>
      </c>
    </row>
    <row r="65" spans="1:11" x14ac:dyDescent="0.3">
      <c r="A65" s="6" t="s">
        <v>58</v>
      </c>
      <c r="B65">
        <v>593.85</v>
      </c>
      <c r="C65">
        <v>580.04</v>
      </c>
      <c r="D65">
        <v>674.49</v>
      </c>
      <c r="E65">
        <v>699.4</v>
      </c>
      <c r="F65">
        <v>743.28</v>
      </c>
      <c r="G65">
        <v>894.07</v>
      </c>
      <c r="H65">
        <v>1292.58</v>
      </c>
      <c r="I65">
        <v>1385.23</v>
      </c>
      <c r="J65">
        <v>1519.09</v>
      </c>
      <c r="K65">
        <v>1889.03</v>
      </c>
    </row>
    <row r="66" spans="1:11" s="1" customFormat="1" x14ac:dyDescent="0.3">
      <c r="A66" s="1" t="s">
        <v>26</v>
      </c>
      <c r="B66">
        <v>1647.66</v>
      </c>
      <c r="C66">
        <v>1674.04</v>
      </c>
      <c r="D66">
        <v>1765.11</v>
      </c>
      <c r="E66">
        <v>1791.95</v>
      </c>
      <c r="F66">
        <v>1813.98</v>
      </c>
      <c r="G66">
        <v>2231.17</v>
      </c>
      <c r="H66">
        <v>2600.9699999999998</v>
      </c>
      <c r="I66">
        <v>3547.36</v>
      </c>
      <c r="J66">
        <v>3988.25</v>
      </c>
      <c r="K66">
        <v>4265.3599999999997</v>
      </c>
    </row>
    <row r="67" spans="1:11" s="6" customFormat="1" x14ac:dyDescent="0.3">
      <c r="A67" s="6" t="s">
        <v>63</v>
      </c>
      <c r="B67">
        <v>272.64</v>
      </c>
      <c r="C67">
        <v>265.97000000000003</v>
      </c>
      <c r="D67">
        <v>300.73</v>
      </c>
      <c r="E67">
        <v>308.22000000000003</v>
      </c>
      <c r="F67">
        <v>345.43</v>
      </c>
      <c r="G67">
        <v>389.02</v>
      </c>
      <c r="H67">
        <v>555.69000000000005</v>
      </c>
      <c r="I67">
        <v>575.79999999999995</v>
      </c>
      <c r="J67">
        <v>686.92</v>
      </c>
      <c r="K67">
        <v>815.38</v>
      </c>
    </row>
    <row r="68" spans="1:11" x14ac:dyDescent="0.3">
      <c r="A68" s="6" t="s">
        <v>43</v>
      </c>
      <c r="B68">
        <v>187.98</v>
      </c>
      <c r="C68">
        <v>200.17</v>
      </c>
      <c r="D68">
        <v>213.73</v>
      </c>
      <c r="E68">
        <v>243.76</v>
      </c>
      <c r="F68">
        <v>274.67</v>
      </c>
      <c r="G68">
        <v>347.45</v>
      </c>
      <c r="H68">
        <v>409.96</v>
      </c>
      <c r="I68">
        <v>430.48</v>
      </c>
      <c r="J68">
        <v>502.51</v>
      </c>
      <c r="K68">
        <v>528.96</v>
      </c>
    </row>
    <row r="69" spans="1:11" x14ac:dyDescent="0.3">
      <c r="A69" s="4" t="s">
        <v>72</v>
      </c>
      <c r="B69">
        <v>12.9</v>
      </c>
      <c r="C69">
        <v>13.39</v>
      </c>
      <c r="D69">
        <v>29.92</v>
      </c>
      <c r="E69">
        <v>36.799999999999997</v>
      </c>
      <c r="F69">
        <v>30.95</v>
      </c>
      <c r="G69">
        <v>30.85</v>
      </c>
      <c r="H69">
        <v>58.53</v>
      </c>
      <c r="I69">
        <v>78.81</v>
      </c>
      <c r="J69">
        <v>95.54</v>
      </c>
      <c r="K69">
        <v>129.44999999999999</v>
      </c>
    </row>
    <row r="70" spans="1:11" x14ac:dyDescent="0.3">
      <c r="A70" s="4" t="s">
        <v>59</v>
      </c>
      <c r="B70">
        <v>84819975</v>
      </c>
      <c r="C70">
        <v>84819975</v>
      </c>
      <c r="D70">
        <v>83569975</v>
      </c>
      <c r="E70">
        <v>80236642</v>
      </c>
      <c r="F70">
        <v>77282097</v>
      </c>
      <c r="G70">
        <v>77282097</v>
      </c>
      <c r="H70">
        <v>77282097</v>
      </c>
      <c r="I70">
        <v>77377584</v>
      </c>
      <c r="J70">
        <v>155194800</v>
      </c>
      <c r="K70">
        <v>155677208</v>
      </c>
    </row>
    <row r="71" spans="1:11" x14ac:dyDescent="0.3">
      <c r="A71" s="4" t="s">
        <v>60</v>
      </c>
    </row>
    <row r="72" spans="1:11" x14ac:dyDescent="0.3">
      <c r="A72" s="4" t="s">
        <v>73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1</v>
      </c>
      <c r="K72">
        <v>1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40</v>
      </c>
    </row>
    <row r="81" spans="1:11" s="15" customFormat="1" x14ac:dyDescent="0.3">
      <c r="A81" s="14" t="s">
        <v>37</v>
      </c>
      <c r="B81" s="11">
        <v>42460</v>
      </c>
      <c r="C81" s="11">
        <v>42825</v>
      </c>
      <c r="D81" s="11">
        <v>43190</v>
      </c>
      <c r="E81" s="11">
        <v>43555</v>
      </c>
      <c r="F81" s="11">
        <v>43921</v>
      </c>
      <c r="G81" s="11">
        <v>44286</v>
      </c>
      <c r="H81" s="11">
        <v>44651</v>
      </c>
      <c r="I81" s="11">
        <v>45016</v>
      </c>
      <c r="J81" s="11">
        <v>45382</v>
      </c>
      <c r="K81" s="11">
        <v>45747</v>
      </c>
    </row>
    <row r="82" spans="1:11" s="1" customFormat="1" x14ac:dyDescent="0.3">
      <c r="A82" s="6" t="s">
        <v>31</v>
      </c>
      <c r="B82">
        <v>140.41</v>
      </c>
      <c r="C82">
        <v>201.13</v>
      </c>
      <c r="D82">
        <v>122.92</v>
      </c>
      <c r="E82">
        <v>194.33</v>
      </c>
      <c r="F82">
        <v>275.75</v>
      </c>
      <c r="G82">
        <v>314.77999999999997</v>
      </c>
      <c r="H82">
        <v>170.13</v>
      </c>
      <c r="I82">
        <v>625.61</v>
      </c>
      <c r="J82">
        <v>800.61</v>
      </c>
      <c r="K82">
        <v>902.45</v>
      </c>
    </row>
    <row r="83" spans="1:11" s="6" customFormat="1" x14ac:dyDescent="0.3">
      <c r="A83" s="6" t="s">
        <v>32</v>
      </c>
      <c r="B83">
        <v>-25.91</v>
      </c>
      <c r="C83">
        <v>-45.31</v>
      </c>
      <c r="D83">
        <v>-20.68</v>
      </c>
      <c r="E83">
        <v>-27.69</v>
      </c>
      <c r="F83">
        <v>23.91</v>
      </c>
      <c r="G83">
        <v>-230.64</v>
      </c>
      <c r="H83">
        <v>2.3199999999999998</v>
      </c>
      <c r="I83">
        <v>-961.76</v>
      </c>
      <c r="J83">
        <v>-403.85</v>
      </c>
      <c r="K83">
        <v>-295.89999999999998</v>
      </c>
    </row>
    <row r="84" spans="1:11" s="6" customFormat="1" x14ac:dyDescent="0.3">
      <c r="A84" s="6" t="s">
        <v>33</v>
      </c>
      <c r="B84">
        <v>-99.62</v>
      </c>
      <c r="C84">
        <v>-183.84</v>
      </c>
      <c r="D84">
        <v>-59.52</v>
      </c>
      <c r="E84">
        <v>-155.74</v>
      </c>
      <c r="F84">
        <v>-306.05</v>
      </c>
      <c r="G84">
        <v>-87.42</v>
      </c>
      <c r="H84">
        <v>-138.38999999999999</v>
      </c>
      <c r="I84">
        <v>356.54</v>
      </c>
      <c r="J84">
        <v>-385.49</v>
      </c>
      <c r="K84">
        <v>-579.66999999999996</v>
      </c>
    </row>
    <row r="85" spans="1:11" s="1" customFormat="1" x14ac:dyDescent="0.3">
      <c r="A85" s="6" t="s">
        <v>34</v>
      </c>
      <c r="B85">
        <v>14.88</v>
      </c>
      <c r="C85">
        <v>-28.02</v>
      </c>
      <c r="D85">
        <v>42.72</v>
      </c>
      <c r="E85">
        <v>10.9</v>
      </c>
      <c r="F85">
        <v>-6.39</v>
      </c>
      <c r="G85">
        <v>-3.28</v>
      </c>
      <c r="H85">
        <v>34.07</v>
      </c>
      <c r="I85">
        <v>20.39</v>
      </c>
      <c r="J85">
        <v>11.28</v>
      </c>
      <c r="K85">
        <v>26.88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62</v>
      </c>
      <c r="B90">
        <v>124.73</v>
      </c>
      <c r="C90">
        <v>173.08</v>
      </c>
      <c r="D90">
        <v>155.05000000000001</v>
      </c>
      <c r="E90">
        <v>181.2</v>
      </c>
      <c r="F90">
        <v>254.5</v>
      </c>
      <c r="G90">
        <v>627.73</v>
      </c>
      <c r="H90">
        <v>787.45</v>
      </c>
      <c r="I90">
        <v>988.18</v>
      </c>
      <c r="J90">
        <v>1650.4</v>
      </c>
      <c r="K90">
        <v>1623.2</v>
      </c>
    </row>
    <row r="92" spans="1:11" s="1" customFormat="1" x14ac:dyDescent="0.3">
      <c r="A92" s="1" t="s">
        <v>61</v>
      </c>
    </row>
    <row r="93" spans="1:11" x14ac:dyDescent="0.3">
      <c r="A93" s="4" t="s">
        <v>74</v>
      </c>
      <c r="B93" s="16">
        <v>16.96</v>
      </c>
      <c r="C93" s="16">
        <v>16.96</v>
      </c>
      <c r="D93" s="16">
        <v>16.71</v>
      </c>
      <c r="E93" s="16">
        <v>16.05</v>
      </c>
      <c r="F93" s="16">
        <v>15.46</v>
      </c>
      <c r="G93" s="16">
        <v>15.46</v>
      </c>
      <c r="H93" s="16">
        <v>15.46</v>
      </c>
      <c r="I93" s="16">
        <v>15.48</v>
      </c>
      <c r="J93" s="16">
        <v>15.52</v>
      </c>
      <c r="K93" s="16">
        <v>15.57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CDBC-117A-4AEF-A131-C554932186D8}">
  <sheetPr>
    <tabColor theme="7" tint="-0.499984740745262"/>
  </sheetPr>
  <dimension ref="B2:Y30"/>
  <sheetViews>
    <sheetView zoomScale="114" workbookViewId="0">
      <selection activeCell="A15" sqref="A15"/>
    </sheetView>
  </sheetViews>
  <sheetFormatPr defaultRowHeight="14.4" x14ac:dyDescent="0.3"/>
  <cols>
    <col min="2" max="2" width="22.6640625" bestFit="1" customWidth="1"/>
    <col min="3" max="5" width="7.33203125" bestFit="1" customWidth="1"/>
    <col min="6" max="7" width="7" bestFit="1" customWidth="1"/>
    <col min="8" max="14" width="7.33203125" bestFit="1" customWidth="1"/>
  </cols>
  <sheetData>
    <row r="2" spans="2:25" x14ac:dyDescent="0.3">
      <c r="C2" s="21">
        <v>41699</v>
      </c>
      <c r="D2" s="21">
        <v>42064</v>
      </c>
      <c r="E2" s="21">
        <v>42430</v>
      </c>
      <c r="F2" s="21">
        <v>42795</v>
      </c>
      <c r="G2" s="21">
        <v>43160</v>
      </c>
      <c r="H2" s="21">
        <v>43525</v>
      </c>
      <c r="I2" s="21">
        <v>43891</v>
      </c>
      <c r="J2" s="21">
        <v>44256</v>
      </c>
      <c r="K2" s="21">
        <v>44621</v>
      </c>
      <c r="L2" s="21">
        <v>44986</v>
      </c>
      <c r="M2" s="21">
        <v>45352</v>
      </c>
      <c r="N2" s="21">
        <v>45717</v>
      </c>
    </row>
    <row r="3" spans="2:25" x14ac:dyDescent="0.3">
      <c r="B3" t="s">
        <v>127</v>
      </c>
      <c r="C3" s="39">
        <v>-14</v>
      </c>
      <c r="D3" s="39">
        <v>127</v>
      </c>
      <c r="E3" s="39">
        <v>140</v>
      </c>
      <c r="F3" s="39">
        <v>201</v>
      </c>
      <c r="G3" s="39">
        <v>123</v>
      </c>
      <c r="H3" s="39">
        <v>194</v>
      </c>
      <c r="I3" s="39">
        <v>276</v>
      </c>
      <c r="J3" s="39">
        <v>315</v>
      </c>
      <c r="K3" s="39">
        <v>170</v>
      </c>
      <c r="L3" s="39">
        <v>626</v>
      </c>
      <c r="M3" s="39">
        <v>801</v>
      </c>
      <c r="N3" s="39">
        <v>902</v>
      </c>
    </row>
    <row r="4" spans="2:25" x14ac:dyDescent="0.3">
      <c r="B4" t="s">
        <v>95</v>
      </c>
      <c r="C4" s="39">
        <v>108</v>
      </c>
      <c r="D4" s="39">
        <v>184</v>
      </c>
      <c r="E4" s="39">
        <v>211</v>
      </c>
      <c r="F4" s="39">
        <v>243</v>
      </c>
      <c r="G4" s="39">
        <v>211</v>
      </c>
      <c r="H4" s="39">
        <v>311</v>
      </c>
      <c r="I4" s="39">
        <v>357</v>
      </c>
      <c r="J4" s="39">
        <v>551</v>
      </c>
      <c r="K4" s="39">
        <v>607</v>
      </c>
      <c r="L4" s="39">
        <v>751</v>
      </c>
      <c r="M4" s="39">
        <v>939</v>
      </c>
      <c r="N4" s="39">
        <v>1096</v>
      </c>
      <c r="P4" s="39"/>
      <c r="Q4" s="39"/>
      <c r="R4" s="39"/>
      <c r="S4" s="39"/>
      <c r="T4" s="39"/>
      <c r="U4" s="39"/>
      <c r="V4" s="39"/>
      <c r="W4" s="39"/>
      <c r="X4" s="39"/>
      <c r="Y4" s="39"/>
    </row>
    <row r="5" spans="2:25" x14ac:dyDescent="0.3">
      <c r="B5" t="s">
        <v>63</v>
      </c>
      <c r="C5">
        <v>-51</v>
      </c>
      <c r="D5" s="39">
        <v>-35</v>
      </c>
      <c r="E5" s="39">
        <v>-32</v>
      </c>
      <c r="F5" s="39">
        <v>19</v>
      </c>
      <c r="G5" s="39">
        <v>-53</v>
      </c>
      <c r="H5" s="39">
        <v>11</v>
      </c>
      <c r="I5" s="39">
        <v>-12</v>
      </c>
      <c r="J5">
        <v>-71</v>
      </c>
      <c r="K5">
        <v>-293</v>
      </c>
      <c r="L5" s="39">
        <v>-42</v>
      </c>
      <c r="M5" s="39">
        <v>-72</v>
      </c>
      <c r="N5">
        <v>-50</v>
      </c>
      <c r="P5" s="39"/>
      <c r="Q5" s="39"/>
      <c r="R5" s="39"/>
      <c r="S5" s="39"/>
      <c r="T5" s="39"/>
      <c r="W5" s="39"/>
      <c r="X5" s="39"/>
    </row>
    <row r="6" spans="2:25" x14ac:dyDescent="0.3">
      <c r="B6" t="s">
        <v>43</v>
      </c>
      <c r="C6">
        <v>-30</v>
      </c>
      <c r="D6">
        <v>-16</v>
      </c>
      <c r="E6">
        <v>-28</v>
      </c>
      <c r="F6">
        <v>-12</v>
      </c>
      <c r="G6">
        <v>-14</v>
      </c>
      <c r="H6">
        <v>-30</v>
      </c>
      <c r="I6" s="39">
        <v>-31</v>
      </c>
      <c r="J6">
        <v>-70</v>
      </c>
      <c r="K6">
        <v>-63</v>
      </c>
      <c r="L6">
        <v>-21</v>
      </c>
      <c r="M6" s="39">
        <v>-72</v>
      </c>
      <c r="N6" s="39">
        <v>-26</v>
      </c>
      <c r="T6" s="39"/>
      <c r="X6" s="39"/>
      <c r="Y6" s="39"/>
    </row>
    <row r="7" spans="2:25" x14ac:dyDescent="0.3">
      <c r="B7" t="s">
        <v>96</v>
      </c>
      <c r="C7" s="39">
        <v>-12</v>
      </c>
      <c r="D7" s="39">
        <v>32</v>
      </c>
      <c r="E7">
        <v>43</v>
      </c>
      <c r="F7" s="39">
        <v>-1</v>
      </c>
      <c r="G7">
        <v>19</v>
      </c>
      <c r="H7" s="39">
        <v>-29</v>
      </c>
      <c r="I7" s="39">
        <v>52</v>
      </c>
      <c r="J7" s="39">
        <v>46</v>
      </c>
      <c r="K7">
        <v>53</v>
      </c>
      <c r="L7">
        <v>32</v>
      </c>
      <c r="M7">
        <v>138</v>
      </c>
      <c r="N7">
        <v>83</v>
      </c>
      <c r="Q7" s="39"/>
      <c r="S7" s="39"/>
      <c r="T7" s="39"/>
      <c r="U7" s="39"/>
    </row>
    <row r="8" spans="2:25" x14ac:dyDescent="0.3">
      <c r="B8" t="s">
        <v>97</v>
      </c>
      <c r="C8">
        <v>0</v>
      </c>
      <c r="D8">
        <v>0</v>
      </c>
      <c r="E8">
        <v>0</v>
      </c>
      <c r="F8">
        <v>0</v>
      </c>
      <c r="G8">
        <v>0</v>
      </c>
      <c r="H8">
        <v>-4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25" x14ac:dyDescent="0.3">
      <c r="B9" t="s">
        <v>98</v>
      </c>
      <c r="C9" s="39">
        <v>-94</v>
      </c>
      <c r="D9" s="39">
        <v>-20</v>
      </c>
      <c r="E9">
        <v>-17</v>
      </c>
      <c r="F9">
        <v>6</v>
      </c>
      <c r="G9" s="39">
        <v>-47</v>
      </c>
      <c r="H9" s="39">
        <v>-51</v>
      </c>
      <c r="I9">
        <v>10</v>
      </c>
      <c r="J9">
        <v>-94</v>
      </c>
      <c r="K9">
        <v>-302</v>
      </c>
      <c r="L9" s="39">
        <v>-30</v>
      </c>
      <c r="M9" s="39">
        <v>-6</v>
      </c>
      <c r="N9">
        <v>7</v>
      </c>
      <c r="R9" s="39"/>
      <c r="S9" s="39"/>
      <c r="W9" s="39"/>
      <c r="X9" s="39"/>
    </row>
    <row r="10" spans="2:25" x14ac:dyDescent="0.3">
      <c r="B10" t="s">
        <v>99</v>
      </c>
      <c r="C10" s="39">
        <v>-28</v>
      </c>
      <c r="D10">
        <v>-38</v>
      </c>
      <c r="E10" s="39">
        <v>-53</v>
      </c>
      <c r="F10">
        <v>-48</v>
      </c>
      <c r="G10">
        <v>-41</v>
      </c>
      <c r="H10">
        <v>-65</v>
      </c>
      <c r="I10">
        <v>-91</v>
      </c>
      <c r="J10" s="39">
        <v>-142</v>
      </c>
      <c r="K10">
        <v>-135</v>
      </c>
      <c r="L10" s="39">
        <v>-95</v>
      </c>
      <c r="M10" s="39">
        <v>-132</v>
      </c>
      <c r="N10">
        <v>-201</v>
      </c>
      <c r="P10" s="39"/>
      <c r="U10" s="39"/>
      <c r="W10" s="39"/>
      <c r="X10" s="39"/>
    </row>
    <row r="11" spans="2:25" x14ac:dyDescent="0.3">
      <c r="B11" t="s">
        <v>128</v>
      </c>
      <c r="C11">
        <v>-142</v>
      </c>
      <c r="D11">
        <v>-112</v>
      </c>
      <c r="E11">
        <v>-26</v>
      </c>
      <c r="F11">
        <v>-45</v>
      </c>
      <c r="G11">
        <v>-21</v>
      </c>
      <c r="H11">
        <v>-28</v>
      </c>
      <c r="I11">
        <v>24</v>
      </c>
      <c r="J11">
        <v>-231</v>
      </c>
      <c r="K11">
        <v>2</v>
      </c>
      <c r="L11">
        <v>-962</v>
      </c>
      <c r="M11">
        <v>-404</v>
      </c>
      <c r="N11">
        <v>-296</v>
      </c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 spans="2:25" x14ac:dyDescent="0.3">
      <c r="B12" t="s">
        <v>100</v>
      </c>
      <c r="C12" s="39">
        <v>-60</v>
      </c>
      <c r="D12" s="39">
        <v>-71</v>
      </c>
      <c r="E12" s="39">
        <v>-203</v>
      </c>
      <c r="F12" s="39">
        <v>-156</v>
      </c>
      <c r="G12">
        <v>-36</v>
      </c>
      <c r="H12">
        <v>-49</v>
      </c>
      <c r="I12" s="39">
        <v>-73</v>
      </c>
      <c r="J12" s="39">
        <v>-48</v>
      </c>
      <c r="K12">
        <v>-707</v>
      </c>
      <c r="L12" s="39">
        <v>-765</v>
      </c>
      <c r="M12" s="39">
        <v>-261</v>
      </c>
      <c r="N12" s="39">
        <v>-120</v>
      </c>
      <c r="P12" s="39"/>
      <c r="Q12" s="39"/>
    </row>
    <row r="13" spans="2:25" x14ac:dyDescent="0.3">
      <c r="B13" t="s">
        <v>101</v>
      </c>
      <c r="C13" s="39">
        <v>1</v>
      </c>
      <c r="D13" s="39">
        <v>0</v>
      </c>
      <c r="E13" s="39">
        <v>0</v>
      </c>
      <c r="F13">
        <v>3</v>
      </c>
      <c r="G13">
        <v>8</v>
      </c>
      <c r="H13">
        <v>7</v>
      </c>
      <c r="I13" s="39">
        <v>2</v>
      </c>
      <c r="J13" s="39">
        <v>48</v>
      </c>
      <c r="K13" s="39">
        <v>8</v>
      </c>
      <c r="L13" s="39">
        <v>1</v>
      </c>
      <c r="M13" s="39">
        <v>1</v>
      </c>
      <c r="N13" s="39">
        <v>1</v>
      </c>
    </row>
    <row r="14" spans="2:25" x14ac:dyDescent="0.3">
      <c r="B14" t="s">
        <v>102</v>
      </c>
      <c r="C14">
        <v>-391</v>
      </c>
      <c r="D14">
        <v>-246</v>
      </c>
      <c r="E14">
        <v>-199</v>
      </c>
      <c r="F14">
        <v>-183</v>
      </c>
      <c r="G14">
        <v>-420</v>
      </c>
      <c r="H14">
        <v>-425</v>
      </c>
      <c r="I14">
        <v>-383</v>
      </c>
      <c r="J14">
        <v>-541</v>
      </c>
      <c r="K14">
        <v>-508</v>
      </c>
      <c r="L14">
        <v>-743</v>
      </c>
      <c r="M14">
        <v>-869</v>
      </c>
      <c r="N14">
        <v>-980</v>
      </c>
    </row>
    <row r="15" spans="2:25" x14ac:dyDescent="0.3">
      <c r="B15" t="s">
        <v>103</v>
      </c>
      <c r="C15" s="39">
        <v>307</v>
      </c>
      <c r="D15" s="39">
        <v>204</v>
      </c>
      <c r="E15">
        <v>419</v>
      </c>
      <c r="F15">
        <v>292</v>
      </c>
      <c r="G15">
        <v>423</v>
      </c>
      <c r="H15">
        <v>436</v>
      </c>
      <c r="I15">
        <v>474</v>
      </c>
      <c r="J15">
        <v>317</v>
      </c>
      <c r="K15" s="39">
        <v>1209</v>
      </c>
      <c r="L15">
        <v>557</v>
      </c>
      <c r="M15">
        <v>719</v>
      </c>
      <c r="N15" s="39">
        <v>1055</v>
      </c>
      <c r="Q15" s="39"/>
    </row>
    <row r="16" spans="2:25" x14ac:dyDescent="0.3">
      <c r="B16" t="s">
        <v>104</v>
      </c>
      <c r="C16" s="39">
        <v>1</v>
      </c>
      <c r="D16" s="39">
        <v>1</v>
      </c>
      <c r="E16">
        <v>1</v>
      </c>
      <c r="F16">
        <v>1</v>
      </c>
      <c r="G16">
        <v>2</v>
      </c>
      <c r="H16">
        <v>2</v>
      </c>
      <c r="I16">
        <v>2</v>
      </c>
      <c r="J16" s="39">
        <v>2</v>
      </c>
      <c r="K16">
        <v>1</v>
      </c>
      <c r="L16">
        <v>2</v>
      </c>
      <c r="M16">
        <v>4</v>
      </c>
      <c r="N16">
        <v>5</v>
      </c>
      <c r="Q16" s="39"/>
    </row>
    <row r="17" spans="2:17" x14ac:dyDescent="0.3">
      <c r="B17" t="s">
        <v>105</v>
      </c>
      <c r="C17">
        <v>0</v>
      </c>
      <c r="D17">
        <v>0</v>
      </c>
      <c r="E17">
        <v>6</v>
      </c>
      <c r="F17">
        <v>0</v>
      </c>
      <c r="G17">
        <v>0</v>
      </c>
      <c r="H17">
        <v>1</v>
      </c>
      <c r="I17">
        <v>1</v>
      </c>
      <c r="J17">
        <v>0</v>
      </c>
      <c r="K17" s="39">
        <v>0</v>
      </c>
      <c r="L17" s="39">
        <v>0</v>
      </c>
      <c r="M17" s="39">
        <v>0</v>
      </c>
      <c r="N17">
        <v>0</v>
      </c>
    </row>
    <row r="18" spans="2:17" x14ac:dyDescent="0.3">
      <c r="B18" t="s">
        <v>130</v>
      </c>
      <c r="C18">
        <v>0</v>
      </c>
      <c r="D18" s="39">
        <v>0</v>
      </c>
      <c r="E18">
        <v>-52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Q18" s="39"/>
    </row>
    <row r="19" spans="2:17" x14ac:dyDescent="0.3">
      <c r="B19" t="s">
        <v>106</v>
      </c>
      <c r="C19">
        <v>0</v>
      </c>
      <c r="D19">
        <v>0</v>
      </c>
      <c r="E19">
        <v>2</v>
      </c>
      <c r="F19">
        <v>-2</v>
      </c>
      <c r="G19">
        <v>3</v>
      </c>
      <c r="H19">
        <v>1</v>
      </c>
      <c r="I19">
        <v>-1</v>
      </c>
      <c r="J19">
        <v>-9</v>
      </c>
      <c r="K19">
        <v>0</v>
      </c>
      <c r="L19">
        <v>-13</v>
      </c>
      <c r="M19">
        <v>2</v>
      </c>
      <c r="N19">
        <v>-257</v>
      </c>
    </row>
    <row r="20" spans="2:17" x14ac:dyDescent="0.3">
      <c r="B20" t="s">
        <v>129</v>
      </c>
      <c r="C20">
        <v>12</v>
      </c>
      <c r="D20">
        <v>-1</v>
      </c>
      <c r="E20">
        <v>-100</v>
      </c>
      <c r="F20">
        <v>-184</v>
      </c>
      <c r="G20">
        <v>-60</v>
      </c>
      <c r="H20">
        <v>-156</v>
      </c>
      <c r="I20">
        <v>-306</v>
      </c>
      <c r="J20">
        <v>-87</v>
      </c>
      <c r="K20">
        <v>-138</v>
      </c>
      <c r="L20">
        <v>357</v>
      </c>
      <c r="M20">
        <v>-385</v>
      </c>
      <c r="N20" s="39">
        <v>-580</v>
      </c>
    </row>
    <row r="21" spans="2:17" x14ac:dyDescent="0.3">
      <c r="B21" t="s">
        <v>107</v>
      </c>
      <c r="C21" s="39">
        <v>0</v>
      </c>
      <c r="D21">
        <v>1</v>
      </c>
      <c r="E21" s="39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</v>
      </c>
      <c r="M21" s="39">
        <v>20</v>
      </c>
      <c r="N21">
        <v>24</v>
      </c>
    </row>
    <row r="22" spans="2:17" x14ac:dyDescent="0.3">
      <c r="B22" t="s">
        <v>108</v>
      </c>
      <c r="C22" s="39">
        <v>44</v>
      </c>
      <c r="D22" s="39">
        <v>32</v>
      </c>
      <c r="E22" s="39">
        <v>89</v>
      </c>
      <c r="F22" s="39">
        <v>0</v>
      </c>
      <c r="G22" s="39">
        <v>4</v>
      </c>
      <c r="H22" s="39">
        <v>0</v>
      </c>
      <c r="I22" s="39">
        <v>6</v>
      </c>
      <c r="J22" s="39">
        <v>0</v>
      </c>
      <c r="K22" s="39">
        <v>0</v>
      </c>
      <c r="L22" s="39">
        <v>610</v>
      </c>
      <c r="M22" s="39">
        <v>0</v>
      </c>
      <c r="N22" s="39">
        <v>0</v>
      </c>
    </row>
    <row r="23" spans="2:17" x14ac:dyDescent="0.3">
      <c r="B23" t="s">
        <v>109</v>
      </c>
      <c r="C23" s="39">
        <v>0</v>
      </c>
      <c r="D23">
        <v>0</v>
      </c>
      <c r="E23" s="39">
        <v>0</v>
      </c>
      <c r="F23" s="39">
        <v>-175</v>
      </c>
      <c r="G23">
        <v>0</v>
      </c>
      <c r="H23" s="39">
        <v>0</v>
      </c>
      <c r="I23">
        <v>0</v>
      </c>
      <c r="J23">
        <v>0</v>
      </c>
      <c r="K23">
        <v>0</v>
      </c>
      <c r="L23">
        <v>-87</v>
      </c>
      <c r="M23">
        <v>-192</v>
      </c>
      <c r="N23">
        <v>-344</v>
      </c>
      <c r="Q23" s="39"/>
    </row>
    <row r="24" spans="2:17" x14ac:dyDescent="0.3">
      <c r="B24" t="s">
        <v>131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-6</v>
      </c>
      <c r="M24">
        <v>0</v>
      </c>
      <c r="N24">
        <v>0</v>
      </c>
    </row>
    <row r="25" spans="2:17" x14ac:dyDescent="0.3">
      <c r="B25" t="s">
        <v>110</v>
      </c>
      <c r="C25" s="39">
        <v>-3</v>
      </c>
      <c r="D25" s="39">
        <v>-4</v>
      </c>
      <c r="E25" s="39">
        <v>-2</v>
      </c>
      <c r="F25" s="39">
        <v>-3</v>
      </c>
      <c r="G25" s="39">
        <v>-3</v>
      </c>
      <c r="H25" s="39">
        <v>-4</v>
      </c>
      <c r="I25" s="39">
        <v>-2</v>
      </c>
      <c r="J25" s="39">
        <v>-6</v>
      </c>
      <c r="K25" s="39">
        <v>-2</v>
      </c>
      <c r="L25" s="39">
        <v>-32</v>
      </c>
      <c r="M25" s="39">
        <v>-44</v>
      </c>
      <c r="N25" s="39">
        <v>-10</v>
      </c>
    </row>
    <row r="26" spans="2:17" x14ac:dyDescent="0.3">
      <c r="B26" t="s">
        <v>111</v>
      </c>
      <c r="C26" s="39">
        <v>-30</v>
      </c>
      <c r="D26" s="39">
        <v>-30</v>
      </c>
      <c r="E26" s="39">
        <v>-188</v>
      </c>
      <c r="F26" s="39">
        <v>-6</v>
      </c>
      <c r="G26" s="39">
        <v>-10</v>
      </c>
      <c r="H26" s="39">
        <v>-21</v>
      </c>
      <c r="I26" s="39">
        <v>-141</v>
      </c>
      <c r="J26" s="39">
        <v>-73</v>
      </c>
      <c r="K26" s="39">
        <v>-128</v>
      </c>
      <c r="L26" s="39">
        <v>-128</v>
      </c>
      <c r="M26" s="39">
        <v>-157</v>
      </c>
      <c r="N26" s="39">
        <v>-237</v>
      </c>
    </row>
    <row r="27" spans="2:17" x14ac:dyDescent="0.3">
      <c r="B27" t="s">
        <v>112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9">
        <v>-9</v>
      </c>
      <c r="J27" s="39">
        <v>-8</v>
      </c>
      <c r="K27" s="39">
        <v>-8</v>
      </c>
      <c r="L27" s="39">
        <v>-10</v>
      </c>
      <c r="M27" s="39">
        <v>-13</v>
      </c>
      <c r="N27" s="39">
        <v>-13</v>
      </c>
    </row>
    <row r="28" spans="2:17" x14ac:dyDescent="0.3">
      <c r="B28" t="s">
        <v>113</v>
      </c>
      <c r="C28">
        <v>0</v>
      </c>
      <c r="D28">
        <v>0</v>
      </c>
      <c r="E28">
        <v>0</v>
      </c>
      <c r="F28">
        <v>0</v>
      </c>
      <c r="G28">
        <v>-50</v>
      </c>
      <c r="H28">
        <v>-131</v>
      </c>
      <c r="I28">
        <v>-161</v>
      </c>
      <c r="J28">
        <v>0</v>
      </c>
      <c r="K28">
        <v>0</v>
      </c>
      <c r="L28">
        <v>0</v>
      </c>
      <c r="M28" s="39">
        <v>0</v>
      </c>
      <c r="N28">
        <v>0</v>
      </c>
    </row>
    <row r="29" spans="2:17" x14ac:dyDescent="0.3">
      <c r="B29" t="s">
        <v>34</v>
      </c>
      <c r="C29">
        <v>-144</v>
      </c>
      <c r="D29">
        <v>13</v>
      </c>
      <c r="E29">
        <v>15</v>
      </c>
      <c r="F29">
        <v>-28</v>
      </c>
      <c r="G29">
        <v>43</v>
      </c>
      <c r="H29">
        <v>11</v>
      </c>
      <c r="I29">
        <v>-6</v>
      </c>
      <c r="J29">
        <v>-3</v>
      </c>
      <c r="K29">
        <v>34</v>
      </c>
      <c r="L29">
        <v>20</v>
      </c>
      <c r="M29">
        <v>11</v>
      </c>
      <c r="N29">
        <v>27</v>
      </c>
    </row>
    <row r="30" spans="2:17" x14ac:dyDescent="0.3">
      <c r="M30" s="39"/>
      <c r="N30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Profit &amp; Loss</vt:lpstr>
      <vt:lpstr>Financials&gt;</vt:lpstr>
      <vt:lpstr>Historicals&gt;</vt:lpstr>
      <vt:lpstr>Ratio Analysis</vt:lpstr>
      <vt:lpstr>Forecasting</vt:lpstr>
      <vt:lpstr>Data &gt;</vt:lpstr>
      <vt:lpstr>Data Sheet</vt:lpstr>
      <vt:lpstr>Cash Flow Statement</vt:lpstr>
      <vt:lpstr>'Historicals&gt;'!Print_Area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negiaayush1810@gmail.com</cp:lastModifiedBy>
  <cp:lastPrinted>2026-01-31T14:27:09Z</cp:lastPrinted>
  <dcterms:created xsi:type="dcterms:W3CDTF">2012-08-17T09:55:37Z</dcterms:created>
  <dcterms:modified xsi:type="dcterms:W3CDTF">2026-06-02T17:22:58Z</dcterms:modified>
</cp:coreProperties>
</file>